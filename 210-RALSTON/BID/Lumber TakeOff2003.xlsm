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90" windowWidth="25440" windowHeight="13740" activeTab="5"/>
  </bookViews>
  <sheets>
    <sheet name="FRAMING" sheetId="2" r:id="rId1"/>
    <sheet name="FINISH" sheetId="3" r:id="rId2"/>
    <sheet name="FRAMING ORDER" sheetId="4" r:id="rId3"/>
    <sheet name="FINISH ORDER" sheetId="5" r:id="rId4"/>
    <sheet name="FRAMING LABOR" sheetId="6" r:id="rId5"/>
    <sheet name="PT ORDER BSMT&amp;MAIN&amp;GARAGE" sheetId="7" r:id="rId6"/>
  </sheets>
  <definedNames>
    <definedName name="_xlnm.Print_Area" localSheetId="1">FINISH!$A$1:$O$46</definedName>
    <definedName name="_xlnm.Print_Area" localSheetId="3">'FINISH ORDER'!$A$1:$E$37</definedName>
    <definedName name="_xlnm.Print_Titles" localSheetId="0">FRAMING!$1:$6</definedName>
    <definedName name="_xlnm.Print_Titles" localSheetId="2">'FRAMING ORDER'!$1:$2</definedName>
  </definedNames>
  <calcPr calcId="125725"/>
</workbook>
</file>

<file path=xl/calcChain.xml><?xml version="1.0" encoding="utf-8"?>
<calcChain xmlns="http://schemas.openxmlformats.org/spreadsheetml/2006/main">
  <c r="I38" i="2"/>
  <c r="J38"/>
  <c r="K38"/>
  <c r="L38"/>
  <c r="M38"/>
  <c r="N38"/>
  <c r="O38"/>
  <c r="P38"/>
  <c r="H38"/>
  <c r="F6" i="6"/>
  <c r="H36" i="5"/>
  <c r="H32"/>
  <c r="H28"/>
  <c r="H24"/>
  <c r="H21"/>
  <c r="H18"/>
  <c r="H17"/>
  <c r="H16"/>
  <c r="H13"/>
  <c r="H12"/>
  <c r="H11"/>
  <c r="H8"/>
  <c r="H39" s="1"/>
  <c r="F7" i="6"/>
  <c r="F5"/>
  <c r="F4"/>
  <c r="F3"/>
  <c r="K125" i="2"/>
  <c r="J125"/>
  <c r="I125"/>
  <c r="H125"/>
  <c r="G125"/>
  <c r="K66"/>
  <c r="J66"/>
  <c r="I66"/>
  <c r="H66"/>
  <c r="G66"/>
  <c r="U10" i="3"/>
  <c r="U11"/>
  <c r="Z10" s="1"/>
  <c r="U13"/>
  <c r="AA10" s="1"/>
  <c r="U14"/>
  <c r="U15"/>
  <c r="U16"/>
  <c r="U17"/>
  <c r="U18"/>
  <c r="U21"/>
  <c r="U22"/>
  <c r="U26"/>
  <c r="Y10"/>
  <c r="U27"/>
  <c r="U31"/>
  <c r="X10" s="1"/>
  <c r="U32"/>
  <c r="U34"/>
  <c r="U35"/>
  <c r="U36"/>
  <c r="U37"/>
  <c r="U38"/>
  <c r="U39"/>
  <c r="U40"/>
  <c r="U42"/>
  <c r="U43"/>
  <c r="F9" i="6"/>
</calcChain>
</file>

<file path=xl/sharedStrings.xml><?xml version="1.0" encoding="utf-8"?>
<sst xmlns="http://schemas.openxmlformats.org/spreadsheetml/2006/main" count="532" uniqueCount="155">
  <si>
    <t>LF</t>
  </si>
  <si>
    <t>PT</t>
  </si>
  <si>
    <t>2x6</t>
  </si>
  <si>
    <t>2x8</t>
  </si>
  <si>
    <t>2x10</t>
  </si>
  <si>
    <t>2x12</t>
  </si>
  <si>
    <t>GARAGE ROOF</t>
  </si>
  <si>
    <t>2x4</t>
  </si>
  <si>
    <t>STUDS</t>
  </si>
  <si>
    <t>DIM</t>
  </si>
  <si>
    <t>TOP PLATE</t>
  </si>
  <si>
    <t>GIRDERS</t>
  </si>
  <si>
    <t>LEVEL</t>
  </si>
  <si>
    <t>DESC</t>
  </si>
  <si>
    <t>SUB DESC</t>
  </si>
  <si>
    <t>TYPE</t>
  </si>
  <si>
    <t>SIZE</t>
  </si>
  <si>
    <t>LENGTH</t>
  </si>
  <si>
    <t>FLOOR JOISTS</t>
  </si>
  <si>
    <t>BOT PLATE</t>
  </si>
  <si>
    <t>PIERS</t>
  </si>
  <si>
    <t>TOP</t>
  </si>
  <si>
    <t>OSB</t>
  </si>
  <si>
    <t>7/16 SHEATHING</t>
  </si>
  <si>
    <t>SHTS</t>
  </si>
  <si>
    <t>3/4 T&amp;G</t>
  </si>
  <si>
    <t>4x8</t>
  </si>
  <si>
    <t>FLOOR FRAMING</t>
  </si>
  <si>
    <t>BASEMENT FRAMING</t>
  </si>
  <si>
    <t>GARAGE FRAMING</t>
  </si>
  <si>
    <t>MAIN LEVEL FRAMING</t>
  </si>
  <si>
    <t>5/8 SHEATHING</t>
  </si>
  <si>
    <t>RAFTERS</t>
  </si>
  <si>
    <t>PLATES</t>
  </si>
  <si>
    <t>INT WALLS</t>
  </si>
  <si>
    <t>EXT WALLS</t>
  </si>
  <si>
    <t>LIGHT COVES</t>
  </si>
  <si>
    <t>ROUGH FACIA</t>
  </si>
  <si>
    <t>FURRING</t>
  </si>
  <si>
    <t>DECK - 7/16</t>
  </si>
  <si>
    <t>BLOCKING</t>
  </si>
  <si>
    <t>1x3</t>
  </si>
  <si>
    <t>SKILITE CURBS</t>
  </si>
  <si>
    <t>FACIA</t>
  </si>
  <si>
    <t>HIPS</t>
  </si>
  <si>
    <t>210 RALSTON</t>
  </si>
  <si>
    <t>FRAMING LUMBER TAKEOFF</t>
  </si>
  <si>
    <t>FINISH LUMBER TAKEOFF</t>
  </si>
  <si>
    <t>1x8</t>
  </si>
  <si>
    <t>1x6</t>
  </si>
  <si>
    <t>HOUSE</t>
  </si>
  <si>
    <t>GARAGE</t>
  </si>
  <si>
    <t>FEATURE STRIP</t>
  </si>
  <si>
    <t>1x4</t>
  </si>
  <si>
    <t>SOFFIT TRIM</t>
  </si>
  <si>
    <t>BALCONY</t>
  </si>
  <si>
    <t>RAILING CAP</t>
  </si>
  <si>
    <t>BOTTOM CAP</t>
  </si>
  <si>
    <t>3x12</t>
  </si>
  <si>
    <t>1x10</t>
  </si>
  <si>
    <t>BASE</t>
  </si>
  <si>
    <t>LIGHT BOX</t>
  </si>
  <si>
    <t>UPPER INTERIOR</t>
  </si>
  <si>
    <t xml:space="preserve">UPPER EXTERIOR </t>
  </si>
  <si>
    <t>1/4x1-1/2</t>
  </si>
  <si>
    <t>DECKING</t>
  </si>
  <si>
    <t>CHOICEDECK</t>
  </si>
  <si>
    <t>WINDOW CASING</t>
  </si>
  <si>
    <t>DOOR CASING</t>
  </si>
  <si>
    <t>WINDOW MULLION COVER</t>
  </si>
  <si>
    <t>DOOR MULLION COVER</t>
  </si>
  <si>
    <t>R/S CEDAR</t>
  </si>
  <si>
    <t>ROUGH CNTOP</t>
  </si>
  <si>
    <t>3/4" AC PLYWD</t>
  </si>
  <si>
    <t>1/4" WNDRBD</t>
  </si>
  <si>
    <t>HEMLOCK</t>
  </si>
  <si>
    <t>BALCONY FRAMING</t>
  </si>
  <si>
    <t>1x12</t>
  </si>
  <si>
    <t>HEADERS</t>
  </si>
  <si>
    <t>DOUBLES</t>
  </si>
  <si>
    <t>4x10</t>
  </si>
  <si>
    <t>4x12</t>
  </si>
  <si>
    <t>PICTHED ROOF</t>
  </si>
  <si>
    <t>SMALL</t>
  </si>
  <si>
    <t>LARGE</t>
  </si>
  <si>
    <t>FLAT ROOF</t>
  </si>
  <si>
    <t>ENTRY TRELLIS</t>
  </si>
  <si>
    <t>ENTRY</t>
  </si>
  <si>
    <t>STAIR</t>
  </si>
  <si>
    <t>BATH #3</t>
  </si>
  <si>
    <t>EXERCISE</t>
  </si>
  <si>
    <t>WEST END</t>
  </si>
  <si>
    <t>KITCHEN TRELLIS</t>
  </si>
  <si>
    <t>MBATH TRELLIS</t>
  </si>
  <si>
    <t>DOG HOUSE ROOF</t>
  </si>
  <si>
    <t>SPA FRAMING</t>
  </si>
  <si>
    <t>WALLS</t>
  </si>
  <si>
    <t>JOISTS</t>
  </si>
  <si>
    <t>MAIN FIREPLACE</t>
  </si>
  <si>
    <t>LIBRARY FIREPLACE</t>
  </si>
  <si>
    <t>QTY</t>
  </si>
  <si>
    <t>OSB SHEATHING</t>
  </si>
  <si>
    <t>7/16"</t>
  </si>
  <si>
    <t>T&amp;G PLYWOOD</t>
  </si>
  <si>
    <t>3/4"</t>
  </si>
  <si>
    <t>5/8"</t>
  </si>
  <si>
    <t>SOFFIT FRAMING</t>
  </si>
  <si>
    <t>SOFFIT LEDGERS</t>
  </si>
  <si>
    <t>SOFFIT RAFTERS</t>
  </si>
  <si>
    <t>BOTH</t>
  </si>
  <si>
    <t>ROUGH FACIA BLK</t>
  </si>
  <si>
    <t>INTERIOR</t>
  </si>
  <si>
    <t>RDWD</t>
  </si>
  <si>
    <t>SOFFIT SHEATHING</t>
  </si>
  <si>
    <t>7/16 OSB</t>
  </si>
  <si>
    <t>REDWOOD</t>
  </si>
  <si>
    <t>1/4"x1-1/2"</t>
  </si>
  <si>
    <t>WONDERBOARD</t>
  </si>
  <si>
    <t>1/4"</t>
  </si>
  <si>
    <t>AC PLYWOOD</t>
  </si>
  <si>
    <t>PROJECT:</t>
  </si>
  <si>
    <t>FINISH LUMBER</t>
  </si>
  <si>
    <t>ITEM</t>
  </si>
  <si>
    <t>UNIT PRICE</t>
  </si>
  <si>
    <t>EXTENSION</t>
  </si>
  <si>
    <t>FRAMING</t>
  </si>
  <si>
    <t>MAIN FLOOR</t>
  </si>
  <si>
    <t>EXTERIOR DECK</t>
  </si>
  <si>
    <t>TRIM</t>
  </si>
  <si>
    <t>UNIT</t>
  </si>
  <si>
    <t>SF</t>
  </si>
  <si>
    <t>SPA</t>
  </si>
  <si>
    <t>POSTS</t>
  </si>
  <si>
    <t>DF #2</t>
  </si>
  <si>
    <t>6x6</t>
  </si>
  <si>
    <t>PT DF #2</t>
  </si>
  <si>
    <t>ITEM DESCRIPTION</t>
  </si>
  <si>
    <t>PRESSURE TREATED LUMBER</t>
  </si>
  <si>
    <t>Section 2:  FLOOR FRAMING</t>
  </si>
  <si>
    <t>1/16</t>
  </si>
  <si>
    <t>LF 2x8 STD&amp;BTR TRT'D DOUG FIR</t>
  </si>
  <si>
    <t>LF 2x6-RL STD&amp;BTR TRT'D DOUG FIR</t>
  </si>
  <si>
    <t>9/8  22/10  2/12  7/14  2/16  2/20</t>
  </si>
  <si>
    <t>TOTAL</t>
  </si>
  <si>
    <t>LF 2x12 #2&amp;BTR TRT'D DOUG FIR</t>
  </si>
  <si>
    <t>7/10  17/12  8/14  10/16  19/18  18/20</t>
  </si>
  <si>
    <t>62/22</t>
  </si>
  <si>
    <t>4/24</t>
  </si>
  <si>
    <t>37/26</t>
  </si>
  <si>
    <t>SILL PLATES</t>
  </si>
  <si>
    <t>Section 4:  GARAGE FRAMING</t>
  </si>
  <si>
    <t>1/8  2/10  1/14  1/16  1/18  1/20</t>
  </si>
  <si>
    <t>1/8</t>
  </si>
  <si>
    <t>Architectural Enterprises, LTD</t>
  </si>
  <si>
    <t>208.850.2579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</si>
</sst>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3" fillId="0" borderId="0" xfId="0" applyFont="1"/>
    <xf numFmtId="49" fontId="2" fillId="0" borderId="0" xfId="0" applyNumberFormat="1" applyFont="1"/>
    <xf numFmtId="0" fontId="4" fillId="0" borderId="0" xfId="0" applyFont="1"/>
    <xf numFmtId="0" fontId="5" fillId="0" borderId="0" xfId="0" applyFont="1"/>
    <xf numFmtId="0" fontId="0" fillId="0" borderId="0" xfId="0" applyFont="1"/>
    <xf numFmtId="164" fontId="0" fillId="0" borderId="0" xfId="0" applyNumberFormat="1"/>
    <xf numFmtId="0" fontId="1" fillId="3" borderId="0" xfId="0" applyFont="1" applyFill="1" applyAlignment="1">
      <alignment horizontal="center"/>
    </xf>
    <xf numFmtId="0" fontId="0" fillId="4" borderId="0" xfId="0" applyFill="1" applyBorder="1"/>
    <xf numFmtId="49" fontId="0" fillId="4" borderId="0" xfId="0" applyNumberFormat="1" applyFill="1" applyBorder="1"/>
    <xf numFmtId="0" fontId="0" fillId="0" borderId="0" xfId="0" applyFill="1" applyBorder="1"/>
    <xf numFmtId="49" fontId="0" fillId="0" borderId="0" xfId="0" applyNumberFormat="1" applyFill="1" applyBorder="1"/>
    <xf numFmtId="0" fontId="3" fillId="0" borderId="0" xfId="0" applyFont="1" applyFill="1" applyBorder="1"/>
    <xf numFmtId="0" fontId="2" fillId="0" borderId="0" xfId="0" applyFont="1" applyFill="1" applyBorder="1"/>
    <xf numFmtId="49" fontId="2" fillId="0" borderId="0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49" fontId="0" fillId="0" borderId="0" xfId="0" applyNumberFormat="1" applyFill="1"/>
    <xf numFmtId="0" fontId="0" fillId="5" borderId="0" xfId="0" applyFont="1" applyFill="1"/>
    <xf numFmtId="0" fontId="0" fillId="5" borderId="0" xfId="0" applyFill="1"/>
    <xf numFmtId="49" fontId="0" fillId="5" borderId="0" xfId="0" applyNumberFormat="1" applyFill="1"/>
    <xf numFmtId="0" fontId="2" fillId="0" borderId="0" xfId="0" applyFont="1" applyAlignment="1">
      <alignment horizontal="left"/>
    </xf>
    <xf numFmtId="0" fontId="2" fillId="0" borderId="0" xfId="0" applyFont="1" applyFill="1"/>
    <xf numFmtId="0" fontId="2" fillId="5" borderId="0" xfId="0" applyFont="1" applyFill="1"/>
    <xf numFmtId="49" fontId="2" fillId="5" borderId="0" xfId="0" applyNumberFormat="1" applyFont="1" applyFill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Q193"/>
  <sheetViews>
    <sheetView workbookViewId="0">
      <pane ySplit="6" topLeftCell="A31" activePane="bottomLeft" state="frozen"/>
      <selection pane="bottomLeft" activeCell="N54" sqref="N54"/>
    </sheetView>
  </sheetViews>
  <sheetFormatPr defaultRowHeight="15"/>
  <cols>
    <col min="1" max="1" width="8.140625" customWidth="1"/>
    <col min="2" max="2" width="17" customWidth="1"/>
    <col min="3" max="3" width="17.85546875" customWidth="1"/>
    <col min="4" max="4" width="11.85546875" customWidth="1"/>
    <col min="5" max="5" width="9.140625" style="2"/>
  </cols>
  <sheetData>
    <row r="1" spans="1:17" ht="31.5">
      <c r="A1" s="9" t="s">
        <v>45</v>
      </c>
    </row>
    <row r="3" spans="1:17" ht="18.75">
      <c r="A3" s="8" t="s">
        <v>46</v>
      </c>
    </row>
    <row r="5" spans="1:17">
      <c r="F5" s="12" t="s">
        <v>17</v>
      </c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</row>
    <row r="6" spans="1:17" s="1" customFormat="1">
      <c r="A6" s="3" t="s">
        <v>12</v>
      </c>
      <c r="B6" s="3" t="s">
        <v>13</v>
      </c>
      <c r="C6" s="3" t="s">
        <v>14</v>
      </c>
      <c r="D6" s="3" t="s">
        <v>15</v>
      </c>
      <c r="E6" s="4" t="s">
        <v>16</v>
      </c>
      <c r="F6" s="5" t="s">
        <v>0</v>
      </c>
      <c r="G6" s="5">
        <v>8</v>
      </c>
      <c r="H6" s="5">
        <v>10</v>
      </c>
      <c r="I6" s="5">
        <v>12</v>
      </c>
      <c r="J6" s="5">
        <v>14</v>
      </c>
      <c r="K6" s="5">
        <v>16</v>
      </c>
      <c r="L6" s="5">
        <v>18</v>
      </c>
      <c r="M6" s="5">
        <v>20</v>
      </c>
      <c r="N6" s="5">
        <v>22</v>
      </c>
      <c r="O6" s="5">
        <v>24</v>
      </c>
      <c r="P6" s="5">
        <v>26</v>
      </c>
      <c r="Q6" s="5" t="s">
        <v>24</v>
      </c>
    </row>
    <row r="7" spans="1:17">
      <c r="A7" s="15"/>
      <c r="B7" s="15"/>
      <c r="C7" s="15"/>
      <c r="D7" s="15"/>
      <c r="E7" s="16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</row>
    <row r="8" spans="1:17" s="1" customFormat="1">
      <c r="A8" s="17" t="s">
        <v>28</v>
      </c>
      <c r="B8" s="18"/>
      <c r="C8" s="18"/>
      <c r="D8" s="18"/>
      <c r="E8" s="19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</row>
    <row r="9" spans="1:17">
      <c r="A9" s="15"/>
      <c r="B9" s="15"/>
      <c r="C9" s="15"/>
      <c r="D9" s="15"/>
      <c r="E9" s="16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spans="1:17">
      <c r="A10" s="15"/>
      <c r="B10" s="15" t="s">
        <v>34</v>
      </c>
      <c r="C10" s="15"/>
      <c r="D10" s="15"/>
      <c r="E10" s="16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spans="1:17">
      <c r="A11" s="13"/>
      <c r="B11" s="13"/>
      <c r="C11" s="13" t="s">
        <v>19</v>
      </c>
      <c r="D11" s="13" t="s">
        <v>1</v>
      </c>
      <c r="E11" s="14" t="s">
        <v>7</v>
      </c>
      <c r="F11" s="13"/>
      <c r="G11" s="13"/>
      <c r="H11" s="13">
        <v>3</v>
      </c>
      <c r="I11" s="13">
        <v>3</v>
      </c>
      <c r="J11" s="13">
        <v>2</v>
      </c>
      <c r="K11" s="13"/>
      <c r="L11" s="13"/>
      <c r="M11" s="13"/>
      <c r="N11" s="13"/>
      <c r="O11" s="13"/>
      <c r="P11" s="13"/>
      <c r="Q11" s="13"/>
    </row>
    <row r="12" spans="1:17">
      <c r="A12" s="15"/>
      <c r="B12" s="15"/>
      <c r="C12" s="15" t="s">
        <v>33</v>
      </c>
      <c r="D12" s="15" t="s">
        <v>9</v>
      </c>
      <c r="E12" s="16" t="s">
        <v>7</v>
      </c>
      <c r="F12" s="15"/>
      <c r="G12" s="15"/>
      <c r="H12" s="15">
        <v>6</v>
      </c>
      <c r="I12" s="15">
        <v>6</v>
      </c>
      <c r="J12" s="15">
        <v>5</v>
      </c>
      <c r="K12" s="15"/>
      <c r="L12" s="15"/>
      <c r="M12" s="15"/>
      <c r="N12" s="15"/>
      <c r="O12" s="15"/>
      <c r="P12" s="15"/>
      <c r="Q12" s="15"/>
    </row>
    <row r="13" spans="1:17">
      <c r="A13" s="15"/>
      <c r="B13" s="15"/>
      <c r="C13" s="15" t="s">
        <v>8</v>
      </c>
      <c r="D13" s="15" t="s">
        <v>9</v>
      </c>
      <c r="E13" s="16" t="s">
        <v>7</v>
      </c>
      <c r="F13" s="15"/>
      <c r="G13" s="15"/>
      <c r="H13" s="15">
        <v>75</v>
      </c>
      <c r="I13" s="15"/>
      <c r="J13" s="15"/>
      <c r="K13" s="15"/>
      <c r="L13" s="15"/>
      <c r="M13" s="15"/>
      <c r="N13" s="15"/>
      <c r="O13" s="15"/>
      <c r="P13" s="15"/>
      <c r="Q13" s="15"/>
    </row>
    <row r="14" spans="1:17">
      <c r="A14" s="15"/>
      <c r="B14" s="15"/>
      <c r="C14" s="15"/>
      <c r="D14" s="15"/>
      <c r="E14" s="16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7">
      <c r="A15" s="13"/>
      <c r="B15" s="13"/>
      <c r="C15" s="13" t="s">
        <v>19</v>
      </c>
      <c r="D15" s="13" t="s">
        <v>1</v>
      </c>
      <c r="E15" s="14" t="s">
        <v>2</v>
      </c>
      <c r="F15" s="13"/>
      <c r="G15" s="13">
        <v>1</v>
      </c>
      <c r="H15" s="13">
        <v>2</v>
      </c>
      <c r="I15" s="13"/>
      <c r="J15" s="13"/>
      <c r="K15" s="13"/>
      <c r="L15" s="13"/>
      <c r="M15" s="13"/>
      <c r="N15" s="13"/>
      <c r="O15" s="13"/>
      <c r="P15" s="13"/>
      <c r="Q15" s="13"/>
    </row>
    <row r="16" spans="1:17">
      <c r="A16" s="15"/>
      <c r="B16" s="15"/>
      <c r="C16" s="15" t="s">
        <v>33</v>
      </c>
      <c r="D16" s="15" t="s">
        <v>9</v>
      </c>
      <c r="E16" s="16" t="s">
        <v>2</v>
      </c>
      <c r="F16" s="15"/>
      <c r="G16" s="15">
        <v>2</v>
      </c>
      <c r="H16" s="15">
        <v>4</v>
      </c>
      <c r="I16" s="15"/>
      <c r="J16" s="15"/>
      <c r="K16" s="15"/>
      <c r="L16" s="15"/>
      <c r="M16" s="15"/>
      <c r="N16" s="15"/>
      <c r="O16" s="15"/>
      <c r="P16" s="15"/>
      <c r="Q16" s="15"/>
    </row>
    <row r="17" spans="1:17">
      <c r="A17" s="15"/>
      <c r="B17" s="15"/>
      <c r="C17" s="15" t="s">
        <v>8</v>
      </c>
      <c r="D17" s="15" t="s">
        <v>9</v>
      </c>
      <c r="E17" s="16" t="s">
        <v>2</v>
      </c>
      <c r="F17" s="15"/>
      <c r="G17" s="15">
        <v>25</v>
      </c>
      <c r="H17" s="15"/>
      <c r="I17" s="15"/>
      <c r="J17" s="15"/>
      <c r="K17" s="15"/>
      <c r="L17" s="15"/>
      <c r="M17" s="15"/>
      <c r="N17" s="15"/>
      <c r="O17" s="15"/>
      <c r="P17" s="15"/>
      <c r="Q17" s="15"/>
    </row>
    <row r="18" spans="1:17">
      <c r="A18" s="15"/>
      <c r="B18" s="15"/>
      <c r="C18" s="15"/>
      <c r="D18" s="15"/>
      <c r="E18" s="16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spans="1:17">
      <c r="A19" s="15"/>
      <c r="B19" s="15" t="s">
        <v>23</v>
      </c>
      <c r="C19" s="15"/>
      <c r="D19" s="15" t="s">
        <v>22</v>
      </c>
      <c r="E19" s="16" t="s">
        <v>26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17">
      <c r="A20" s="15"/>
      <c r="B20" s="15"/>
      <c r="C20" s="15"/>
      <c r="D20" s="15"/>
      <c r="E20" s="16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spans="1:17" s="1" customFormat="1">
      <c r="A21" s="6" t="s">
        <v>27</v>
      </c>
      <c r="E21" s="7"/>
    </row>
    <row r="22" spans="1:17" s="1" customFormat="1">
      <c r="A22" s="6"/>
      <c r="E22" s="7"/>
    </row>
    <row r="23" spans="1:17" s="10" customFormat="1">
      <c r="A23" s="26"/>
      <c r="B23" s="26" t="s">
        <v>33</v>
      </c>
      <c r="C23" s="26"/>
      <c r="D23" s="27" t="s">
        <v>1</v>
      </c>
      <c r="E23" s="28" t="s">
        <v>3</v>
      </c>
      <c r="F23" s="26"/>
      <c r="G23" s="26"/>
      <c r="H23" s="26"/>
      <c r="I23" s="26"/>
      <c r="J23" s="26"/>
      <c r="K23" s="26">
        <v>1</v>
      </c>
      <c r="L23" s="26"/>
      <c r="M23" s="26"/>
      <c r="N23" s="26"/>
      <c r="O23" s="26"/>
      <c r="P23" s="26"/>
      <c r="Q23" s="26"/>
    </row>
    <row r="24" spans="1:17" s="10" customFormat="1">
      <c r="A24" s="26"/>
      <c r="B24" s="26"/>
      <c r="C24" s="26"/>
      <c r="D24" s="27" t="s">
        <v>1</v>
      </c>
      <c r="E24" s="28" t="s">
        <v>2</v>
      </c>
      <c r="F24" s="26"/>
      <c r="G24" s="26">
        <v>9</v>
      </c>
      <c r="H24" s="26">
        <v>22</v>
      </c>
      <c r="I24" s="26">
        <v>2</v>
      </c>
      <c r="J24" s="26">
        <v>7</v>
      </c>
      <c r="K24" s="26">
        <v>2</v>
      </c>
      <c r="L24" s="26"/>
      <c r="M24" s="26">
        <v>2</v>
      </c>
      <c r="N24" s="26"/>
      <c r="O24" s="26"/>
      <c r="P24" s="26"/>
      <c r="Q24" s="26"/>
    </row>
    <row r="26" spans="1:17">
      <c r="B26" t="s">
        <v>78</v>
      </c>
      <c r="D26" t="s">
        <v>9</v>
      </c>
      <c r="E26" s="2" t="s">
        <v>5</v>
      </c>
      <c r="G26">
        <v>15</v>
      </c>
      <c r="H26">
        <v>16</v>
      </c>
      <c r="I26">
        <v>3</v>
      </c>
      <c r="J26">
        <v>7</v>
      </c>
      <c r="K26">
        <v>7</v>
      </c>
      <c r="L26">
        <v>2</v>
      </c>
      <c r="M26">
        <v>2</v>
      </c>
    </row>
    <row r="27" spans="1:17">
      <c r="A27" s="24"/>
      <c r="B27" s="24"/>
      <c r="C27" s="24"/>
      <c r="D27" s="24" t="s">
        <v>135</v>
      </c>
      <c r="E27" s="25" t="s">
        <v>5</v>
      </c>
      <c r="F27" s="24"/>
      <c r="G27" s="24">
        <v>3</v>
      </c>
      <c r="H27" s="24">
        <v>7</v>
      </c>
      <c r="I27" s="24">
        <v>9</v>
      </c>
      <c r="J27" s="24">
        <v>6</v>
      </c>
      <c r="K27" s="24"/>
      <c r="L27" s="24">
        <v>10</v>
      </c>
      <c r="M27" s="24">
        <v>6</v>
      </c>
      <c r="N27" s="24"/>
      <c r="O27" s="24"/>
      <c r="P27" s="24"/>
      <c r="Q27" s="24"/>
    </row>
    <row r="29" spans="1:17">
      <c r="B29" t="s">
        <v>18</v>
      </c>
      <c r="D29" t="s">
        <v>9</v>
      </c>
      <c r="E29" s="2" t="s">
        <v>5</v>
      </c>
      <c r="H29">
        <v>11</v>
      </c>
      <c r="I29">
        <v>32</v>
      </c>
      <c r="J29">
        <v>40</v>
      </c>
      <c r="K29">
        <v>14</v>
      </c>
    </row>
    <row r="30" spans="1:17">
      <c r="A30" s="15"/>
      <c r="B30" s="15"/>
      <c r="C30" s="15"/>
      <c r="D30" s="15" t="s">
        <v>135</v>
      </c>
      <c r="E30" s="16" t="s">
        <v>5</v>
      </c>
      <c r="F30" s="15"/>
      <c r="G30" s="15"/>
      <c r="H30" s="15"/>
      <c r="I30" s="15">
        <v>8</v>
      </c>
      <c r="J30" s="15">
        <v>2</v>
      </c>
      <c r="K30" s="15">
        <v>10</v>
      </c>
      <c r="L30" s="15">
        <v>9</v>
      </c>
      <c r="M30" s="15">
        <v>12</v>
      </c>
      <c r="N30" s="15">
        <v>62</v>
      </c>
      <c r="O30" s="15">
        <v>4</v>
      </c>
      <c r="P30" s="15">
        <v>37</v>
      </c>
      <c r="Q30" s="15"/>
    </row>
    <row r="32" spans="1:17">
      <c r="A32" s="27"/>
      <c r="B32" s="27" t="s">
        <v>40</v>
      </c>
      <c r="C32" s="27"/>
      <c r="D32" s="27" t="s">
        <v>135</v>
      </c>
      <c r="E32" s="28" t="s">
        <v>5</v>
      </c>
      <c r="F32" s="27">
        <v>575</v>
      </c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</row>
    <row r="34" spans="1:17">
      <c r="B34" t="s">
        <v>25</v>
      </c>
      <c r="D34" t="s">
        <v>22</v>
      </c>
      <c r="E34" s="2" t="s">
        <v>26</v>
      </c>
      <c r="Q34">
        <v>109</v>
      </c>
    </row>
    <row r="36" spans="1:17">
      <c r="B36" t="s">
        <v>132</v>
      </c>
      <c r="D36" t="s">
        <v>133</v>
      </c>
      <c r="E36" s="2" t="s">
        <v>134</v>
      </c>
      <c r="G36">
        <v>5</v>
      </c>
    </row>
    <row r="38" spans="1:17" s="30" customFormat="1">
      <c r="A38" s="31"/>
      <c r="B38" s="31"/>
      <c r="C38" s="31" t="s">
        <v>143</v>
      </c>
      <c r="D38" s="31" t="s">
        <v>135</v>
      </c>
      <c r="E38" s="32" t="s">
        <v>5</v>
      </c>
      <c r="F38" s="31"/>
      <c r="G38" s="31"/>
      <c r="H38" s="31">
        <f>H27+H30</f>
        <v>7</v>
      </c>
      <c r="I38" s="31">
        <f>I27+I30</f>
        <v>17</v>
      </c>
      <c r="J38" s="31">
        <f>J27+J30</f>
        <v>8</v>
      </c>
      <c r="K38" s="31">
        <f>K27+K30</f>
        <v>10</v>
      </c>
      <c r="L38" s="31">
        <f>L27+L30</f>
        <v>19</v>
      </c>
      <c r="M38" s="31">
        <f>M27+M30</f>
        <v>18</v>
      </c>
      <c r="N38" s="31">
        <f>N27+N30</f>
        <v>62</v>
      </c>
      <c r="O38" s="31">
        <f>O27+O30</f>
        <v>4</v>
      </c>
      <c r="P38" s="31">
        <f>P27+P30</f>
        <v>37</v>
      </c>
      <c r="Q38" s="31"/>
    </row>
    <row r="40" spans="1:17">
      <c r="A40" s="6" t="s">
        <v>76</v>
      </c>
    </row>
    <row r="41" spans="1:17">
      <c r="A41" s="6"/>
      <c r="C41" t="s">
        <v>33</v>
      </c>
      <c r="D41" t="s">
        <v>9</v>
      </c>
      <c r="E41" s="2" t="s">
        <v>2</v>
      </c>
      <c r="K41">
        <v>11</v>
      </c>
    </row>
    <row r="42" spans="1:17">
      <c r="A42" s="6"/>
      <c r="C42" t="s">
        <v>8</v>
      </c>
      <c r="D42" t="s">
        <v>9</v>
      </c>
      <c r="E42" s="2" t="s">
        <v>2</v>
      </c>
      <c r="K42">
        <v>14</v>
      </c>
    </row>
    <row r="43" spans="1:17">
      <c r="A43" s="6"/>
      <c r="C43" t="s">
        <v>40</v>
      </c>
      <c r="D43" t="s">
        <v>9</v>
      </c>
      <c r="E43" s="2" t="s">
        <v>5</v>
      </c>
      <c r="K43">
        <v>10</v>
      </c>
    </row>
    <row r="44" spans="1:17">
      <c r="A44" s="6"/>
      <c r="C44" t="s">
        <v>23</v>
      </c>
      <c r="D44" t="s">
        <v>22</v>
      </c>
      <c r="E44" s="2" t="s">
        <v>26</v>
      </c>
      <c r="Q44">
        <v>35</v>
      </c>
    </row>
    <row r="46" spans="1:17" s="1" customFormat="1">
      <c r="A46" s="6" t="s">
        <v>29</v>
      </c>
      <c r="E46" s="7"/>
    </row>
    <row r="48" spans="1:17">
      <c r="B48" t="s">
        <v>35</v>
      </c>
    </row>
    <row r="49" spans="1:17">
      <c r="A49" s="27"/>
      <c r="B49" s="27"/>
      <c r="C49" s="27" t="s">
        <v>19</v>
      </c>
      <c r="D49" s="27" t="s">
        <v>1</v>
      </c>
      <c r="E49" s="28" t="s">
        <v>2</v>
      </c>
      <c r="F49" s="27"/>
      <c r="G49" s="27">
        <v>1</v>
      </c>
      <c r="H49" s="27">
        <v>2</v>
      </c>
      <c r="I49" s="27"/>
      <c r="J49" s="27">
        <v>1</v>
      </c>
      <c r="K49" s="27">
        <v>1</v>
      </c>
      <c r="L49" s="27">
        <v>1</v>
      </c>
      <c r="M49" s="27">
        <v>1</v>
      </c>
      <c r="N49" s="27"/>
      <c r="O49" s="27"/>
      <c r="P49" s="27"/>
      <c r="Q49" s="27"/>
    </row>
    <row r="50" spans="1:17">
      <c r="C50" t="s">
        <v>10</v>
      </c>
      <c r="D50" t="s">
        <v>9</v>
      </c>
      <c r="E50" s="2" t="s">
        <v>2</v>
      </c>
      <c r="G50">
        <v>4</v>
      </c>
      <c r="H50">
        <v>12</v>
      </c>
      <c r="I50">
        <v>4</v>
      </c>
      <c r="J50">
        <v>2</v>
      </c>
      <c r="K50">
        <v>4</v>
      </c>
    </row>
    <row r="51" spans="1:17">
      <c r="C51" t="s">
        <v>8</v>
      </c>
      <c r="D51" t="s">
        <v>9</v>
      </c>
      <c r="E51" s="2" t="s">
        <v>2</v>
      </c>
      <c r="G51">
        <v>9</v>
      </c>
      <c r="H51">
        <v>47</v>
      </c>
      <c r="I51">
        <v>66</v>
      </c>
      <c r="J51">
        <v>19</v>
      </c>
    </row>
    <row r="52" spans="1:17">
      <c r="D52" t="s">
        <v>9</v>
      </c>
      <c r="E52" s="2" t="s">
        <v>3</v>
      </c>
      <c r="H52">
        <v>4</v>
      </c>
      <c r="I52">
        <v>10</v>
      </c>
    </row>
    <row r="54" spans="1:17">
      <c r="B54" t="s">
        <v>20</v>
      </c>
    </row>
    <row r="55" spans="1:17">
      <c r="C55" t="s">
        <v>19</v>
      </c>
      <c r="D55" t="s">
        <v>1</v>
      </c>
      <c r="E55" s="2" t="s">
        <v>3</v>
      </c>
      <c r="G55">
        <v>1</v>
      </c>
    </row>
    <row r="56" spans="1:17">
      <c r="C56" t="s">
        <v>21</v>
      </c>
      <c r="D56" t="s">
        <v>9</v>
      </c>
      <c r="E56" s="2" t="s">
        <v>3</v>
      </c>
      <c r="G56">
        <v>2</v>
      </c>
    </row>
    <row r="57" spans="1:17">
      <c r="C57" t="s">
        <v>8</v>
      </c>
      <c r="D57" t="s">
        <v>9</v>
      </c>
      <c r="E57" s="2" t="s">
        <v>3</v>
      </c>
      <c r="I57">
        <v>2</v>
      </c>
      <c r="J57">
        <v>3</v>
      </c>
    </row>
    <row r="59" spans="1:17">
      <c r="B59" t="s">
        <v>23</v>
      </c>
      <c r="D59" t="s">
        <v>22</v>
      </c>
      <c r="E59" s="2" t="s">
        <v>26</v>
      </c>
    </row>
    <row r="60" spans="1:17">
      <c r="E60" s="2" t="s">
        <v>80</v>
      </c>
      <c r="Q60">
        <v>14</v>
      </c>
    </row>
    <row r="61" spans="1:17">
      <c r="E61" s="2" t="s">
        <v>81</v>
      </c>
      <c r="Q61">
        <v>17</v>
      </c>
    </row>
    <row r="63" spans="1:17" s="1" customFormat="1">
      <c r="A63" s="6" t="s">
        <v>30</v>
      </c>
      <c r="E63" s="7"/>
    </row>
    <row r="65" spans="2:17">
      <c r="B65" t="s">
        <v>35</v>
      </c>
    </row>
    <row r="66" spans="2:17">
      <c r="C66" t="s">
        <v>33</v>
      </c>
      <c r="D66" t="s">
        <v>9</v>
      </c>
      <c r="E66" s="2" t="s">
        <v>2</v>
      </c>
      <c r="G66">
        <f>G24*4</f>
        <v>36</v>
      </c>
      <c r="H66">
        <f>H24*4</f>
        <v>88</v>
      </c>
      <c r="I66">
        <f>I24*4</f>
        <v>8</v>
      </c>
      <c r="J66">
        <f>J24*4</f>
        <v>28</v>
      </c>
      <c r="K66">
        <f>K24*4</f>
        <v>8</v>
      </c>
    </row>
    <row r="67" spans="2:17">
      <c r="D67" t="s">
        <v>9</v>
      </c>
      <c r="E67" s="2" t="s">
        <v>3</v>
      </c>
    </row>
    <row r="68" spans="2:17">
      <c r="C68" t="s">
        <v>8</v>
      </c>
      <c r="D68" t="s">
        <v>9</v>
      </c>
      <c r="E68" s="2" t="s">
        <v>2</v>
      </c>
      <c r="I68">
        <v>38</v>
      </c>
      <c r="J68">
        <v>113</v>
      </c>
    </row>
    <row r="69" spans="2:17">
      <c r="E69" s="2" t="s">
        <v>3</v>
      </c>
      <c r="K69">
        <v>31</v>
      </c>
    </row>
    <row r="71" spans="2:17">
      <c r="B71" t="s">
        <v>20</v>
      </c>
    </row>
    <row r="72" spans="2:17">
      <c r="C72" t="s">
        <v>33</v>
      </c>
      <c r="D72" t="s">
        <v>9</v>
      </c>
      <c r="E72" s="2" t="s">
        <v>3</v>
      </c>
      <c r="H72">
        <v>5</v>
      </c>
    </row>
    <row r="73" spans="2:17">
      <c r="C73" t="s">
        <v>8</v>
      </c>
      <c r="D73" t="s">
        <v>9</v>
      </c>
      <c r="E73" s="2" t="s">
        <v>3</v>
      </c>
      <c r="K73">
        <v>18</v>
      </c>
    </row>
    <row r="74" spans="2:17">
      <c r="C74" t="s">
        <v>23</v>
      </c>
      <c r="D74" t="s">
        <v>22</v>
      </c>
      <c r="E74" s="2" t="s">
        <v>26</v>
      </c>
      <c r="Q74">
        <v>15</v>
      </c>
    </row>
    <row r="76" spans="2:17">
      <c r="B76" t="s">
        <v>34</v>
      </c>
    </row>
    <row r="77" spans="2:17">
      <c r="C77" t="s">
        <v>33</v>
      </c>
      <c r="D77" t="s">
        <v>9</v>
      </c>
      <c r="E77" s="2" t="s">
        <v>7</v>
      </c>
      <c r="H77">
        <v>52</v>
      </c>
      <c r="I77">
        <v>16</v>
      </c>
      <c r="J77">
        <v>24</v>
      </c>
      <c r="K77">
        <v>27</v>
      </c>
      <c r="L77">
        <v>8</v>
      </c>
    </row>
    <row r="78" spans="2:17">
      <c r="E78" s="2" t="s">
        <v>2</v>
      </c>
      <c r="J78">
        <v>90</v>
      </c>
      <c r="K78">
        <v>3</v>
      </c>
    </row>
    <row r="79" spans="2:17">
      <c r="C79" t="s">
        <v>8</v>
      </c>
      <c r="D79" t="s">
        <v>9</v>
      </c>
      <c r="E79" s="2" t="s">
        <v>7</v>
      </c>
      <c r="J79">
        <v>150</v>
      </c>
    </row>
    <row r="80" spans="2:17">
      <c r="E80" s="2" t="s">
        <v>3</v>
      </c>
      <c r="J80">
        <v>7</v>
      </c>
    </row>
    <row r="81" spans="1:17">
      <c r="B81" t="s">
        <v>36</v>
      </c>
    </row>
    <row r="82" spans="1:17">
      <c r="C82" t="s">
        <v>37</v>
      </c>
      <c r="D82" t="s">
        <v>9</v>
      </c>
      <c r="E82" s="2" t="s">
        <v>4</v>
      </c>
      <c r="K82">
        <v>18</v>
      </c>
    </row>
    <row r="83" spans="1:17">
      <c r="C83" t="s">
        <v>38</v>
      </c>
      <c r="D83" t="s">
        <v>9</v>
      </c>
      <c r="E83" s="2" t="s">
        <v>7</v>
      </c>
    </row>
    <row r="84" spans="1:17">
      <c r="D84" t="s">
        <v>9</v>
      </c>
      <c r="E84" s="2" t="s">
        <v>41</v>
      </c>
    </row>
    <row r="85" spans="1:17">
      <c r="C85" t="s">
        <v>39</v>
      </c>
      <c r="D85" t="s">
        <v>22</v>
      </c>
      <c r="E85" s="2" t="s">
        <v>26</v>
      </c>
    </row>
    <row r="87" spans="1:17">
      <c r="B87" t="s">
        <v>23</v>
      </c>
      <c r="D87" t="s">
        <v>22</v>
      </c>
      <c r="E87" s="2" t="s">
        <v>26</v>
      </c>
      <c r="Q87">
        <v>51</v>
      </c>
    </row>
    <row r="89" spans="1:17">
      <c r="A89" s="6" t="s">
        <v>6</v>
      </c>
    </row>
    <row r="91" spans="1:17">
      <c r="B91" t="s">
        <v>32</v>
      </c>
    </row>
    <row r="92" spans="1:17">
      <c r="D92" t="s">
        <v>9</v>
      </c>
      <c r="E92" s="2" t="s">
        <v>4</v>
      </c>
      <c r="H92">
        <v>6</v>
      </c>
      <c r="I92">
        <v>17</v>
      </c>
      <c r="J92">
        <v>9</v>
      </c>
      <c r="K92">
        <v>19</v>
      </c>
      <c r="M92">
        <v>42</v>
      </c>
    </row>
    <row r="94" spans="1:17">
      <c r="B94" t="s">
        <v>40</v>
      </c>
      <c r="D94" t="s">
        <v>9</v>
      </c>
      <c r="E94" s="2" t="s">
        <v>4</v>
      </c>
      <c r="F94">
        <v>80</v>
      </c>
    </row>
    <row r="96" spans="1:17">
      <c r="B96" t="s">
        <v>37</v>
      </c>
    </row>
    <row r="97" spans="1:17">
      <c r="D97" t="s">
        <v>9</v>
      </c>
      <c r="E97" s="2" t="s">
        <v>4</v>
      </c>
      <c r="I97">
        <v>8</v>
      </c>
      <c r="K97">
        <v>2</v>
      </c>
      <c r="L97">
        <v>4</v>
      </c>
      <c r="M97">
        <v>4</v>
      </c>
    </row>
    <row r="98" spans="1:17">
      <c r="D98" t="s">
        <v>9</v>
      </c>
      <c r="E98" s="2" t="s">
        <v>3</v>
      </c>
      <c r="I98">
        <v>4</v>
      </c>
      <c r="K98">
        <v>1</v>
      </c>
      <c r="L98">
        <v>2</v>
      </c>
      <c r="M98">
        <v>2</v>
      </c>
    </row>
    <row r="99" spans="1:17">
      <c r="C99" t="s">
        <v>40</v>
      </c>
      <c r="D99" t="s">
        <v>9</v>
      </c>
      <c r="E99" s="2" t="s">
        <v>2</v>
      </c>
      <c r="K99">
        <v>4</v>
      </c>
    </row>
    <row r="101" spans="1:17">
      <c r="B101" t="s">
        <v>31</v>
      </c>
      <c r="D101" t="s">
        <v>22</v>
      </c>
      <c r="E101" s="2" t="s">
        <v>26</v>
      </c>
      <c r="Q101">
        <v>60</v>
      </c>
    </row>
    <row r="103" spans="1:17">
      <c r="A103" s="6" t="s">
        <v>82</v>
      </c>
    </row>
    <row r="104" spans="1:17">
      <c r="A104" s="6"/>
      <c r="B104" t="s">
        <v>83</v>
      </c>
    </row>
    <row r="105" spans="1:17">
      <c r="C105" t="s">
        <v>44</v>
      </c>
      <c r="D105" t="s">
        <v>9</v>
      </c>
      <c r="E105" s="2" t="s">
        <v>5</v>
      </c>
      <c r="K105">
        <v>64</v>
      </c>
    </row>
    <row r="106" spans="1:17">
      <c r="C106" t="s">
        <v>11</v>
      </c>
      <c r="D106" t="s">
        <v>9</v>
      </c>
      <c r="E106" s="2" t="s">
        <v>4</v>
      </c>
    </row>
    <row r="107" spans="1:17">
      <c r="C107" t="s">
        <v>32</v>
      </c>
      <c r="D107" t="s">
        <v>9</v>
      </c>
      <c r="E107" s="2" t="s">
        <v>4</v>
      </c>
      <c r="K107">
        <v>104</v>
      </c>
    </row>
    <row r="108" spans="1:17">
      <c r="C108" t="s">
        <v>37</v>
      </c>
      <c r="D108" t="s">
        <v>9</v>
      </c>
      <c r="E108" s="2" t="s">
        <v>4</v>
      </c>
      <c r="I108">
        <v>46</v>
      </c>
      <c r="J108">
        <v>12</v>
      </c>
      <c r="K108">
        <v>6</v>
      </c>
    </row>
    <row r="109" spans="1:17">
      <c r="D109" t="s">
        <v>9</v>
      </c>
      <c r="E109" s="2" t="s">
        <v>3</v>
      </c>
      <c r="G109">
        <v>7</v>
      </c>
      <c r="I109">
        <v>5</v>
      </c>
    </row>
    <row r="110" spans="1:17">
      <c r="C110" t="s">
        <v>42</v>
      </c>
      <c r="D110" t="s">
        <v>112</v>
      </c>
      <c r="E110" s="2" t="s">
        <v>2</v>
      </c>
      <c r="K110">
        <v>4</v>
      </c>
    </row>
    <row r="111" spans="1:17">
      <c r="C111" t="s">
        <v>40</v>
      </c>
      <c r="D111" t="s">
        <v>9</v>
      </c>
      <c r="E111" s="2" t="s">
        <v>4</v>
      </c>
      <c r="K111">
        <v>12</v>
      </c>
    </row>
    <row r="112" spans="1:17">
      <c r="C112" t="s">
        <v>31</v>
      </c>
      <c r="D112" t="s">
        <v>22</v>
      </c>
      <c r="E112" s="2" t="s">
        <v>26</v>
      </c>
      <c r="Q112">
        <v>136</v>
      </c>
    </row>
    <row r="114" spans="2:17">
      <c r="B114" t="s">
        <v>84</v>
      </c>
    </row>
    <row r="115" spans="2:17">
      <c r="C115" t="s">
        <v>44</v>
      </c>
      <c r="D115" t="s">
        <v>9</v>
      </c>
      <c r="E115" s="2" t="s">
        <v>5</v>
      </c>
      <c r="O115">
        <v>16</v>
      </c>
    </row>
    <row r="116" spans="2:17">
      <c r="C116" t="s">
        <v>11</v>
      </c>
      <c r="D116" t="s">
        <v>9</v>
      </c>
      <c r="E116" s="2" t="s">
        <v>4</v>
      </c>
    </row>
    <row r="117" spans="2:17">
      <c r="C117" t="s">
        <v>32</v>
      </c>
      <c r="D117" t="s">
        <v>9</v>
      </c>
      <c r="E117" s="2" t="s">
        <v>4</v>
      </c>
      <c r="K117">
        <v>36</v>
      </c>
      <c r="M117">
        <v>16</v>
      </c>
    </row>
    <row r="118" spans="2:17">
      <c r="C118" t="s">
        <v>37</v>
      </c>
      <c r="D118" t="s">
        <v>9</v>
      </c>
      <c r="E118" s="2" t="s">
        <v>4</v>
      </c>
      <c r="H118">
        <v>2</v>
      </c>
      <c r="K118">
        <v>2</v>
      </c>
      <c r="M118">
        <v>6</v>
      </c>
    </row>
    <row r="119" spans="2:17">
      <c r="D119" t="s">
        <v>9</v>
      </c>
      <c r="E119" s="2" t="s">
        <v>3</v>
      </c>
      <c r="G119">
        <v>1</v>
      </c>
      <c r="M119">
        <v>3</v>
      </c>
    </row>
    <row r="120" spans="2:17">
      <c r="C120" t="s">
        <v>42</v>
      </c>
      <c r="D120" t="s">
        <v>112</v>
      </c>
      <c r="E120" s="2" t="s">
        <v>2</v>
      </c>
      <c r="H120">
        <v>4</v>
      </c>
    </row>
    <row r="121" spans="2:17">
      <c r="C121" t="s">
        <v>40</v>
      </c>
      <c r="D121" t="s">
        <v>9</v>
      </c>
      <c r="E121" s="2" t="s">
        <v>4</v>
      </c>
      <c r="K121">
        <v>12</v>
      </c>
    </row>
    <row r="122" spans="2:17">
      <c r="C122" t="s">
        <v>31</v>
      </c>
      <c r="D122" t="s">
        <v>22</v>
      </c>
      <c r="E122" s="2" t="s">
        <v>26</v>
      </c>
      <c r="Q122">
        <v>46</v>
      </c>
    </row>
    <row r="124" spans="2:17">
      <c r="B124" t="s">
        <v>109</v>
      </c>
      <c r="C124" t="s">
        <v>106</v>
      </c>
      <c r="D124" t="s">
        <v>9</v>
      </c>
      <c r="E124" s="2" t="s">
        <v>4</v>
      </c>
      <c r="H124">
        <v>10</v>
      </c>
      <c r="I124">
        <v>7</v>
      </c>
      <c r="J124">
        <v>8</v>
      </c>
      <c r="K124">
        <v>23</v>
      </c>
    </row>
    <row r="125" spans="2:17">
      <c r="C125" t="s">
        <v>107</v>
      </c>
      <c r="D125" t="s">
        <v>9</v>
      </c>
      <c r="E125" s="2" t="s">
        <v>7</v>
      </c>
      <c r="G125">
        <f>G24*2</f>
        <v>18</v>
      </c>
      <c r="H125">
        <f>H24*2</f>
        <v>44</v>
      </c>
      <c r="I125">
        <f>I24*2</f>
        <v>4</v>
      </c>
      <c r="J125">
        <f>J24*2</f>
        <v>14</v>
      </c>
      <c r="K125">
        <f>K24*2</f>
        <v>4</v>
      </c>
    </row>
    <row r="126" spans="2:17">
      <c r="C126" t="s">
        <v>108</v>
      </c>
      <c r="D126" t="s">
        <v>9</v>
      </c>
      <c r="E126" s="2" t="s">
        <v>7</v>
      </c>
      <c r="H126">
        <v>24</v>
      </c>
      <c r="K126">
        <v>84</v>
      </c>
    </row>
    <row r="127" spans="2:17">
      <c r="B127" t="s">
        <v>111</v>
      </c>
      <c r="C127" t="s">
        <v>110</v>
      </c>
      <c r="D127" t="s">
        <v>9</v>
      </c>
      <c r="E127" s="2" t="s">
        <v>2</v>
      </c>
      <c r="K127">
        <v>8</v>
      </c>
    </row>
    <row r="128" spans="2:17">
      <c r="C128" t="s">
        <v>37</v>
      </c>
      <c r="D128" t="s">
        <v>9</v>
      </c>
      <c r="E128" s="2" t="s">
        <v>41</v>
      </c>
      <c r="K128">
        <v>18</v>
      </c>
    </row>
    <row r="129" spans="1:17">
      <c r="C129" t="s">
        <v>113</v>
      </c>
      <c r="D129" t="s">
        <v>114</v>
      </c>
      <c r="E129" s="2" t="s">
        <v>26</v>
      </c>
      <c r="Q129">
        <v>33</v>
      </c>
    </row>
    <row r="131" spans="1:17">
      <c r="A131" s="6" t="s">
        <v>85</v>
      </c>
    </row>
    <row r="132" spans="1:17">
      <c r="C132" t="s">
        <v>37</v>
      </c>
      <c r="D132" t="s">
        <v>9</v>
      </c>
      <c r="E132" s="2" t="s">
        <v>4</v>
      </c>
      <c r="G132">
        <v>2</v>
      </c>
      <c r="H132">
        <v>20</v>
      </c>
      <c r="I132">
        <v>8</v>
      </c>
      <c r="J132">
        <v>2</v>
      </c>
      <c r="K132">
        <v>4</v>
      </c>
      <c r="L132">
        <v>2</v>
      </c>
    </row>
    <row r="133" spans="1:17">
      <c r="E133" s="2" t="s">
        <v>3</v>
      </c>
      <c r="G133">
        <v>1</v>
      </c>
      <c r="H133">
        <v>11</v>
      </c>
      <c r="I133">
        <v>4</v>
      </c>
      <c r="J133">
        <v>1</v>
      </c>
      <c r="K133">
        <v>2</v>
      </c>
      <c r="L133">
        <v>1</v>
      </c>
    </row>
    <row r="135" spans="1:17">
      <c r="C135" t="s">
        <v>86</v>
      </c>
      <c r="D135" t="s">
        <v>9</v>
      </c>
      <c r="E135" s="2" t="s">
        <v>4</v>
      </c>
      <c r="G135">
        <v>1</v>
      </c>
      <c r="I135">
        <v>4</v>
      </c>
      <c r="K135">
        <v>2</v>
      </c>
    </row>
    <row r="136" spans="1:17">
      <c r="E136" s="2" t="s">
        <v>3</v>
      </c>
      <c r="H136">
        <v>1</v>
      </c>
      <c r="K136">
        <v>3</v>
      </c>
    </row>
    <row r="138" spans="1:17">
      <c r="B138" t="s">
        <v>87</v>
      </c>
      <c r="C138" t="s">
        <v>32</v>
      </c>
      <c r="D138" t="s">
        <v>9</v>
      </c>
      <c r="E138" s="2" t="s">
        <v>4</v>
      </c>
      <c r="I138">
        <v>2</v>
      </c>
      <c r="J138">
        <v>1</v>
      </c>
      <c r="K138">
        <v>6</v>
      </c>
    </row>
    <row r="140" spans="1:17">
      <c r="B140" t="s">
        <v>88</v>
      </c>
      <c r="C140" t="s">
        <v>32</v>
      </c>
      <c r="D140" t="s">
        <v>9</v>
      </c>
      <c r="E140" s="2" t="s">
        <v>4</v>
      </c>
      <c r="H140">
        <v>1</v>
      </c>
    </row>
    <row r="142" spans="1:17">
      <c r="B142" t="s">
        <v>89</v>
      </c>
      <c r="C142" t="s">
        <v>32</v>
      </c>
      <c r="D142" t="s">
        <v>9</v>
      </c>
      <c r="E142" s="2" t="s">
        <v>4</v>
      </c>
      <c r="H142">
        <v>3</v>
      </c>
      <c r="I142">
        <v>4</v>
      </c>
      <c r="J142">
        <v>2</v>
      </c>
    </row>
    <row r="144" spans="1:17">
      <c r="B144" t="s">
        <v>90</v>
      </c>
      <c r="C144" t="s">
        <v>32</v>
      </c>
      <c r="D144" t="s">
        <v>9</v>
      </c>
      <c r="E144" s="2" t="s">
        <v>4</v>
      </c>
      <c r="G144">
        <v>1</v>
      </c>
      <c r="H144">
        <v>4</v>
      </c>
      <c r="I144">
        <v>2</v>
      </c>
      <c r="J144">
        <v>1</v>
      </c>
      <c r="K144">
        <v>1</v>
      </c>
    </row>
    <row r="146" spans="1:17">
      <c r="B146" t="s">
        <v>91</v>
      </c>
      <c r="C146" t="s">
        <v>32</v>
      </c>
      <c r="D146" t="s">
        <v>9</v>
      </c>
      <c r="E146" s="2" t="s">
        <v>4</v>
      </c>
      <c r="G146">
        <v>1</v>
      </c>
      <c r="H146">
        <v>19</v>
      </c>
      <c r="I146">
        <v>6</v>
      </c>
      <c r="J146">
        <v>2</v>
      </c>
    </row>
    <row r="148" spans="1:17">
      <c r="C148" t="s">
        <v>92</v>
      </c>
      <c r="D148" t="s">
        <v>9</v>
      </c>
      <c r="E148" s="2" t="s">
        <v>4</v>
      </c>
      <c r="H148">
        <v>1</v>
      </c>
      <c r="J148">
        <v>1</v>
      </c>
    </row>
    <row r="149" spans="1:17">
      <c r="E149" s="2" t="s">
        <v>3</v>
      </c>
      <c r="K149">
        <v>2</v>
      </c>
    </row>
    <row r="151" spans="1:17">
      <c r="C151" t="s">
        <v>93</v>
      </c>
      <c r="D151" t="s">
        <v>9</v>
      </c>
      <c r="E151" s="2" t="s">
        <v>4</v>
      </c>
      <c r="G151">
        <v>1</v>
      </c>
      <c r="H151">
        <v>1</v>
      </c>
      <c r="I151">
        <v>6</v>
      </c>
      <c r="J151">
        <v>1</v>
      </c>
      <c r="K151">
        <v>2</v>
      </c>
    </row>
    <row r="152" spans="1:17">
      <c r="E152" s="2" t="s">
        <v>3</v>
      </c>
      <c r="H152">
        <v>1</v>
      </c>
      <c r="I152">
        <v>1</v>
      </c>
      <c r="J152">
        <v>1</v>
      </c>
      <c r="K152">
        <v>1</v>
      </c>
    </row>
    <row r="154" spans="1:17">
      <c r="C154" t="s">
        <v>31</v>
      </c>
      <c r="D154" t="s">
        <v>22</v>
      </c>
      <c r="E154" s="2" t="s">
        <v>26</v>
      </c>
      <c r="Q154">
        <v>45</v>
      </c>
    </row>
    <row r="156" spans="1:17">
      <c r="A156" s="6" t="s">
        <v>94</v>
      </c>
    </row>
    <row r="158" spans="1:17">
      <c r="C158" t="s">
        <v>32</v>
      </c>
      <c r="D158" t="s">
        <v>9</v>
      </c>
      <c r="E158" s="2" t="s">
        <v>4</v>
      </c>
      <c r="H158">
        <v>8</v>
      </c>
      <c r="K158">
        <v>4</v>
      </c>
    </row>
    <row r="160" spans="1:17">
      <c r="C160" t="s">
        <v>37</v>
      </c>
      <c r="D160" t="s">
        <v>9</v>
      </c>
      <c r="E160" s="2" t="s">
        <v>4</v>
      </c>
      <c r="G160">
        <v>2</v>
      </c>
      <c r="I160">
        <v>2</v>
      </c>
      <c r="J160">
        <v>2</v>
      </c>
    </row>
    <row r="161" spans="1:17">
      <c r="E161" s="2" t="s">
        <v>3</v>
      </c>
      <c r="G161">
        <v>1</v>
      </c>
      <c r="I161">
        <v>1</v>
      </c>
      <c r="J161">
        <v>1</v>
      </c>
    </row>
    <row r="163" spans="1:17">
      <c r="C163" t="s">
        <v>31</v>
      </c>
      <c r="D163" t="s">
        <v>22</v>
      </c>
      <c r="E163" s="2" t="s">
        <v>26</v>
      </c>
      <c r="Q163">
        <v>5</v>
      </c>
    </row>
    <row r="165" spans="1:17">
      <c r="A165" s="6" t="s">
        <v>95</v>
      </c>
    </row>
    <row r="167" spans="1:17">
      <c r="B167" t="s">
        <v>96</v>
      </c>
    </row>
    <row r="168" spans="1:17">
      <c r="C168" t="s">
        <v>33</v>
      </c>
      <c r="D168" t="s">
        <v>1</v>
      </c>
      <c r="E168" s="2" t="s">
        <v>7</v>
      </c>
      <c r="G168">
        <v>24</v>
      </c>
      <c r="H168">
        <v>12</v>
      </c>
    </row>
    <row r="170" spans="1:17">
      <c r="C170" t="s">
        <v>8</v>
      </c>
      <c r="D170" t="s">
        <v>1</v>
      </c>
      <c r="E170" s="2" t="s">
        <v>7</v>
      </c>
      <c r="I170">
        <v>24</v>
      </c>
    </row>
    <row r="172" spans="1:17">
      <c r="C172" t="s">
        <v>97</v>
      </c>
      <c r="D172" t="s">
        <v>1</v>
      </c>
      <c r="E172" s="2" t="s">
        <v>3</v>
      </c>
      <c r="H172">
        <v>16</v>
      </c>
    </row>
    <row r="174" spans="1:17">
      <c r="C174" t="s">
        <v>79</v>
      </c>
      <c r="D174" t="s">
        <v>1</v>
      </c>
      <c r="E174" s="2" t="s">
        <v>3</v>
      </c>
      <c r="I174">
        <v>8</v>
      </c>
    </row>
    <row r="176" spans="1:17">
      <c r="A176" s="6" t="s">
        <v>98</v>
      </c>
    </row>
    <row r="177" spans="1:17">
      <c r="C177" t="s">
        <v>33</v>
      </c>
      <c r="D177" t="s">
        <v>9</v>
      </c>
      <c r="E177" s="2" t="s">
        <v>7</v>
      </c>
      <c r="H177">
        <v>2</v>
      </c>
    </row>
    <row r="178" spans="1:17">
      <c r="E178" s="2" t="s">
        <v>2</v>
      </c>
      <c r="K178">
        <v>5</v>
      </c>
    </row>
    <row r="180" spans="1:17">
      <c r="C180" t="s">
        <v>8</v>
      </c>
      <c r="D180" t="s">
        <v>9</v>
      </c>
      <c r="E180" s="2" t="s">
        <v>7</v>
      </c>
      <c r="K180">
        <v>8</v>
      </c>
    </row>
    <row r="181" spans="1:17">
      <c r="E181" s="2" t="s">
        <v>2</v>
      </c>
      <c r="K181">
        <v>30</v>
      </c>
    </row>
    <row r="183" spans="1:17">
      <c r="C183" t="s">
        <v>23</v>
      </c>
      <c r="D183" t="s">
        <v>22</v>
      </c>
      <c r="E183" s="2" t="s">
        <v>26</v>
      </c>
      <c r="Q183">
        <v>12</v>
      </c>
    </row>
    <row r="185" spans="1:17">
      <c r="A185" s="6" t="s">
        <v>99</v>
      </c>
    </row>
    <row r="186" spans="1:17">
      <c r="C186" t="s">
        <v>33</v>
      </c>
      <c r="D186" t="s">
        <v>9</v>
      </c>
      <c r="E186" s="2" t="s">
        <v>7</v>
      </c>
      <c r="I186">
        <v>1</v>
      </c>
    </row>
    <row r="187" spans="1:17">
      <c r="E187" s="2" t="s">
        <v>2</v>
      </c>
      <c r="I187">
        <v>3</v>
      </c>
    </row>
    <row r="189" spans="1:17">
      <c r="C189" t="s">
        <v>8</v>
      </c>
      <c r="D189" t="s">
        <v>9</v>
      </c>
      <c r="E189" s="2" t="s">
        <v>7</v>
      </c>
      <c r="I189">
        <v>4</v>
      </c>
    </row>
    <row r="190" spans="1:17">
      <c r="E190" s="2" t="s">
        <v>2</v>
      </c>
      <c r="I190">
        <v>15</v>
      </c>
    </row>
    <row r="191" spans="1:17">
      <c r="E191" s="2" t="s">
        <v>3</v>
      </c>
      <c r="I191">
        <v>2</v>
      </c>
    </row>
    <row r="193" spans="3:17">
      <c r="C193" t="s">
        <v>23</v>
      </c>
      <c r="D193" t="s">
        <v>22</v>
      </c>
      <c r="E193" s="2" t="s">
        <v>26</v>
      </c>
      <c r="Q193">
        <v>4</v>
      </c>
    </row>
  </sheetData>
  <mergeCells count="1">
    <mergeCell ref="F5:Q5"/>
  </mergeCells>
  <printOptions gridLines="1"/>
  <pageMargins left="0.7" right="0.7" top="0.75" bottom="0.75" header="0.3" footer="0.3"/>
  <pageSetup scale="63" fitToHeight="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A73"/>
  <sheetViews>
    <sheetView workbookViewId="0">
      <pane ySplit="6" topLeftCell="A30" activePane="bottomLeft" state="frozen"/>
      <selection pane="bottomLeft" sqref="A1:O46"/>
    </sheetView>
  </sheetViews>
  <sheetFormatPr defaultRowHeight="15"/>
  <cols>
    <col min="2" max="2" width="17.5703125" customWidth="1"/>
    <col min="3" max="3" width="25.140625" customWidth="1"/>
    <col min="4" max="4" width="14.28515625" bestFit="1" customWidth="1"/>
  </cols>
  <sheetData>
    <row r="1" spans="1:27" ht="31.5">
      <c r="A1" s="9" t="s">
        <v>45</v>
      </c>
      <c r="E1" s="2"/>
    </row>
    <row r="2" spans="1:27">
      <c r="E2" s="2"/>
    </row>
    <row r="3" spans="1:27" ht="18.75">
      <c r="A3" s="8" t="s">
        <v>47</v>
      </c>
      <c r="E3" s="2"/>
    </row>
    <row r="4" spans="1:27">
      <c r="E4" s="2"/>
    </row>
    <row r="5" spans="1:27">
      <c r="E5" s="2"/>
      <c r="F5" s="12" t="s">
        <v>17</v>
      </c>
      <c r="G5" s="12"/>
      <c r="H5" s="12"/>
      <c r="I5" s="12"/>
      <c r="J5" s="12"/>
      <c r="K5" s="12"/>
      <c r="L5" s="12"/>
      <c r="M5" s="12"/>
      <c r="N5" s="12"/>
      <c r="O5" s="12"/>
    </row>
    <row r="6" spans="1:27">
      <c r="A6" s="3" t="s">
        <v>12</v>
      </c>
      <c r="B6" s="3" t="s">
        <v>13</v>
      </c>
      <c r="C6" s="3" t="s">
        <v>14</v>
      </c>
      <c r="D6" s="3" t="s">
        <v>15</v>
      </c>
      <c r="E6" s="4" t="s">
        <v>16</v>
      </c>
      <c r="F6" s="5" t="s">
        <v>0</v>
      </c>
      <c r="G6" s="5">
        <v>8</v>
      </c>
      <c r="H6" s="5">
        <v>10</v>
      </c>
      <c r="I6" s="5">
        <v>12</v>
      </c>
      <c r="J6" s="5">
        <v>14</v>
      </c>
      <c r="K6" s="5">
        <v>16</v>
      </c>
      <c r="L6" s="5">
        <v>18</v>
      </c>
      <c r="M6" s="5">
        <v>20</v>
      </c>
      <c r="N6" s="5">
        <v>22</v>
      </c>
      <c r="O6" s="5" t="s">
        <v>24</v>
      </c>
      <c r="U6" t="s">
        <v>0</v>
      </c>
      <c r="W6" t="s">
        <v>77</v>
      </c>
      <c r="X6" t="s">
        <v>59</v>
      </c>
      <c r="Y6" t="s">
        <v>48</v>
      </c>
      <c r="Z6" t="s">
        <v>49</v>
      </c>
      <c r="AA6" t="s">
        <v>53</v>
      </c>
    </row>
    <row r="7" spans="1:27">
      <c r="E7" s="2"/>
    </row>
    <row r="8" spans="1:27">
      <c r="A8" s="6" t="s">
        <v>63</v>
      </c>
      <c r="B8" s="1"/>
      <c r="C8" s="1"/>
      <c r="D8" s="1"/>
      <c r="E8" s="7"/>
      <c r="F8" s="1"/>
      <c r="G8" s="1"/>
      <c r="H8" s="1"/>
      <c r="I8" s="1"/>
      <c r="J8" s="1"/>
      <c r="K8" s="1"/>
      <c r="L8" s="1"/>
      <c r="M8" s="1"/>
      <c r="N8" s="1"/>
      <c r="O8" s="1"/>
    </row>
    <row r="9" spans="1:27">
      <c r="B9" t="s">
        <v>50</v>
      </c>
    </row>
    <row r="10" spans="1:27">
      <c r="C10" t="s">
        <v>43</v>
      </c>
      <c r="D10" t="s">
        <v>71</v>
      </c>
      <c r="E10" s="2" t="s">
        <v>48</v>
      </c>
      <c r="U10">
        <f>G10*G6+H10*H6+I10*I6+J10*J6+K10*K6+L10*L6+M10*M6+N10*N6</f>
        <v>0</v>
      </c>
      <c r="X10">
        <f>U31+U42+U57+U72</f>
        <v>0</v>
      </c>
      <c r="Y10">
        <f>U10+U26</f>
        <v>0</v>
      </c>
      <c r="Z10">
        <f>U11+U16+U18+U22+U27+U32+U38+U40+U53+U55+U68+U70</f>
        <v>0</v>
      </c>
      <c r="AA10">
        <f>U13+U14+U15+U17+U34+U35+U36+U37+U39+U51+U52+U54+U64+U65+U66+U67+U69</f>
        <v>0</v>
      </c>
    </row>
    <row r="11" spans="1:27">
      <c r="E11" s="2" t="s">
        <v>49</v>
      </c>
      <c r="U11">
        <f>G11*G6+H11*H6+I11*I6+J11*J6+K11*K6+L11*L6+M11*M6+N11*N6</f>
        <v>0</v>
      </c>
    </row>
    <row r="12" spans="1:27">
      <c r="E12" s="2"/>
    </row>
    <row r="13" spans="1:27">
      <c r="C13" t="s">
        <v>54</v>
      </c>
      <c r="D13" t="s">
        <v>71</v>
      </c>
      <c r="E13" s="2" t="s">
        <v>53</v>
      </c>
      <c r="U13">
        <f>G13*G6+H13*H6+I13*I6+J13*J6+K13*K6+L13*L6+M13*M6+N13*N6</f>
        <v>0</v>
      </c>
    </row>
    <row r="14" spans="1:27">
      <c r="C14" t="s">
        <v>52</v>
      </c>
      <c r="D14" t="s">
        <v>71</v>
      </c>
      <c r="E14" s="2" t="s">
        <v>53</v>
      </c>
      <c r="U14">
        <f>G14*G6+H14*H6+I14*I6+J14*J6+K14*K6+L14*L6+M14*M6+N14*N6</f>
        <v>0</v>
      </c>
    </row>
    <row r="15" spans="1:27">
      <c r="C15" t="s">
        <v>67</v>
      </c>
      <c r="D15" t="s">
        <v>71</v>
      </c>
      <c r="E15" s="2" t="s">
        <v>53</v>
      </c>
      <c r="U15">
        <f>G15*G6+H15*H6+I15*I6+J15*J6+K15*K6+L15*L6+M15*M6+N15*N6</f>
        <v>0</v>
      </c>
    </row>
    <row r="16" spans="1:27">
      <c r="C16" t="s">
        <v>69</v>
      </c>
      <c r="D16" t="s">
        <v>71</v>
      </c>
      <c r="E16" s="2" t="s">
        <v>49</v>
      </c>
      <c r="U16">
        <f>G16*G6+H16*H6+I16*I6+J16*J6+K16*K6+L16*L6+M16*M6+N16*N6</f>
        <v>0</v>
      </c>
    </row>
    <row r="17" spans="1:21">
      <c r="C17" t="s">
        <v>68</v>
      </c>
      <c r="D17" t="s">
        <v>71</v>
      </c>
      <c r="E17" s="2" t="s">
        <v>53</v>
      </c>
      <c r="U17">
        <f>G17*G6+H17*H6+I17*I6+J17*J6+K17*K6+L17*L6+M17*M6+N17*N6</f>
        <v>0</v>
      </c>
    </row>
    <row r="18" spans="1:21">
      <c r="C18" t="s">
        <v>70</v>
      </c>
      <c r="D18" t="s">
        <v>71</v>
      </c>
      <c r="E18" s="2" t="s">
        <v>49</v>
      </c>
      <c r="U18">
        <f>G18*G6+H18*H6+I18*I6+J18*J6+K18*K6+L18*L6+M18*M6+N18*N6</f>
        <v>0</v>
      </c>
    </row>
    <row r="19" spans="1:21">
      <c r="E19" s="2"/>
    </row>
    <row r="20" spans="1:21">
      <c r="B20" t="s">
        <v>55</v>
      </c>
      <c r="E20" s="2"/>
    </row>
    <row r="21" spans="1:21">
      <c r="C21" t="s">
        <v>56</v>
      </c>
      <c r="D21" t="s">
        <v>71</v>
      </c>
      <c r="E21" s="2" t="s">
        <v>58</v>
      </c>
      <c r="U21">
        <f>G21*G6+H21*H6+I21*I6+J21*J6+K21*K6+L21*L6+M21*M6+N21*N6</f>
        <v>0</v>
      </c>
    </row>
    <row r="22" spans="1:21">
      <c r="C22" t="s">
        <v>57</v>
      </c>
      <c r="D22" t="s">
        <v>71</v>
      </c>
      <c r="E22" s="2" t="s">
        <v>49</v>
      </c>
      <c r="U22">
        <f>G22*G6+H22*H6+I22*I6+J22*J6+K22*K6+L22*L6+M22*M6+N22*N6</f>
        <v>0</v>
      </c>
    </row>
    <row r="23" spans="1:21">
      <c r="C23" t="s">
        <v>65</v>
      </c>
      <c r="D23" t="s">
        <v>66</v>
      </c>
      <c r="E23" s="2" t="s">
        <v>2</v>
      </c>
    </row>
    <row r="25" spans="1:21">
      <c r="B25" t="s">
        <v>51</v>
      </c>
    </row>
    <row r="26" spans="1:21">
      <c r="C26" t="s">
        <v>43</v>
      </c>
      <c r="D26" t="s">
        <v>71</v>
      </c>
      <c r="E26" s="2" t="s">
        <v>48</v>
      </c>
      <c r="U26">
        <f>G26*G6+H26*H6+I26*I6+J26*J6+K26*K6+L26*L6+M26*M6+N26*N6</f>
        <v>0</v>
      </c>
    </row>
    <row r="27" spans="1:21">
      <c r="D27" t="s">
        <v>71</v>
      </c>
      <c r="E27" s="2" t="s">
        <v>49</v>
      </c>
      <c r="U27">
        <f>G27*G6+H27*H6+I27*I6+J27*J6+K27*K6+L27*L6+M27*M6+N27*N6</f>
        <v>0</v>
      </c>
    </row>
    <row r="29" spans="1:21">
      <c r="A29" s="6" t="s">
        <v>62</v>
      </c>
      <c r="B29" s="1"/>
      <c r="C29" s="1"/>
      <c r="D29" s="1"/>
      <c r="E29" s="7"/>
    </row>
    <row r="30" spans="1:21">
      <c r="B30" t="s">
        <v>50</v>
      </c>
    </row>
    <row r="31" spans="1:21">
      <c r="C31" t="s">
        <v>43</v>
      </c>
      <c r="D31" t="s">
        <v>71</v>
      </c>
      <c r="E31" s="2" t="s">
        <v>59</v>
      </c>
      <c r="U31">
        <f>G31*G6+H31*H6+I31*I6+J31*J6+K31*K6+L31*L6+M31*M6+N31*N6</f>
        <v>0</v>
      </c>
    </row>
    <row r="32" spans="1:21">
      <c r="D32" t="s">
        <v>71</v>
      </c>
      <c r="E32" s="2" t="s">
        <v>49</v>
      </c>
      <c r="U32">
        <f>G32*G6+H32*H6+I32*I6+J32*J6+K32*K6+L32*L6+M32*M6+N32*N6</f>
        <v>0</v>
      </c>
    </row>
    <row r="34" spans="3:21">
      <c r="C34" t="s">
        <v>54</v>
      </c>
      <c r="D34" t="s">
        <v>71</v>
      </c>
      <c r="E34" s="2" t="s">
        <v>53</v>
      </c>
      <c r="U34">
        <f>G34*G6+H34*H6+I34*I6+J34*J6+K34*K6+L34*L6+M34*M6+N34*N6</f>
        <v>0</v>
      </c>
    </row>
    <row r="35" spans="3:21">
      <c r="C35" t="s">
        <v>52</v>
      </c>
      <c r="D35" t="s">
        <v>71</v>
      </c>
      <c r="E35" s="2" t="s">
        <v>53</v>
      </c>
      <c r="U35">
        <f>G35*G6+H35*H6+I35*I6+J35*J6+K35*K6+L35*L6+M35*M6+N35*N6</f>
        <v>0</v>
      </c>
    </row>
    <row r="36" spans="3:21">
      <c r="C36" t="s">
        <v>60</v>
      </c>
      <c r="D36" t="s">
        <v>71</v>
      </c>
      <c r="E36" s="2" t="s">
        <v>53</v>
      </c>
      <c r="U36">
        <f>G36*G6+H36*H6+I36*I6+J36*J6+K36*K6+L36*L6+M36*M6+N36*N6</f>
        <v>0</v>
      </c>
    </row>
    <row r="37" spans="3:21">
      <c r="C37" t="s">
        <v>67</v>
      </c>
      <c r="D37" t="s">
        <v>71</v>
      </c>
      <c r="E37" s="2" t="s">
        <v>53</v>
      </c>
      <c r="U37">
        <f>G37*G6+H37*H6+I37*I6+J37*J6+K37*K6+L37*L6+M37*M6+N37*N6</f>
        <v>0</v>
      </c>
    </row>
    <row r="38" spans="3:21">
      <c r="C38" t="s">
        <v>69</v>
      </c>
      <c r="D38" t="s">
        <v>71</v>
      </c>
      <c r="E38" s="2" t="s">
        <v>49</v>
      </c>
      <c r="U38">
        <f>G38*G17+H38*H17+I38*I17+J38*J17+K38*K17+L38*L17+M38*M17+N38*N17</f>
        <v>0</v>
      </c>
    </row>
    <row r="39" spans="3:21">
      <c r="C39" t="s">
        <v>68</v>
      </c>
      <c r="D39" t="s">
        <v>71</v>
      </c>
      <c r="E39" s="2" t="s">
        <v>53</v>
      </c>
      <c r="U39">
        <f>G39*G6+H39*H6+I39*I6+J39*J6+K39*K6+L39*L6+M39*M6+N39*N6</f>
        <v>0</v>
      </c>
    </row>
    <row r="40" spans="3:21">
      <c r="C40" t="s">
        <v>70</v>
      </c>
      <c r="D40" t="s">
        <v>71</v>
      </c>
      <c r="E40" s="2" t="s">
        <v>49</v>
      </c>
      <c r="U40">
        <f>G40*G6+H40*H6+I40*I6+J40*J6+K40*K6+L40*L6+M40*M6+N40*N6</f>
        <v>0</v>
      </c>
    </row>
    <row r="42" spans="3:21">
      <c r="C42" t="s">
        <v>61</v>
      </c>
      <c r="D42" t="s">
        <v>71</v>
      </c>
      <c r="E42" s="2" t="s">
        <v>59</v>
      </c>
      <c r="U42">
        <f>G42*G6+H42*H6+I42*I6+J42*J6+K42*K6+L42*L6+M42*M6+N42*N6</f>
        <v>0</v>
      </c>
    </row>
    <row r="43" spans="3:21">
      <c r="D43" t="s">
        <v>75</v>
      </c>
      <c r="E43" s="2" t="s">
        <v>64</v>
      </c>
      <c r="U43">
        <f>G43*G6+H43*H6+I43*I6+J43*J6+K43*K6+L43*L6+M43*M6+N43*N6</f>
        <v>0</v>
      </c>
    </row>
    <row r="44" spans="3:21">
      <c r="E44" s="2"/>
    </row>
    <row r="45" spans="3:21">
      <c r="C45" t="s">
        <v>72</v>
      </c>
      <c r="D45" t="s">
        <v>74</v>
      </c>
      <c r="E45" s="2" t="s">
        <v>26</v>
      </c>
    </row>
    <row r="46" spans="3:21">
      <c r="D46" t="s">
        <v>73</v>
      </c>
      <c r="E46" s="2" t="s">
        <v>26</v>
      </c>
    </row>
    <row r="47" spans="3:21">
      <c r="E47" s="2"/>
    </row>
    <row r="49" spans="1:5">
      <c r="A49" s="6"/>
      <c r="B49" s="1"/>
      <c r="C49" s="1"/>
      <c r="D49" s="1"/>
      <c r="E49" s="7"/>
    </row>
    <row r="51" spans="1:5">
      <c r="E51" s="2"/>
    </row>
    <row r="52" spans="1:5">
      <c r="E52" s="2"/>
    </row>
    <row r="53" spans="1:5">
      <c r="E53" s="2"/>
    </row>
    <row r="54" spans="1:5">
      <c r="E54" s="2"/>
    </row>
    <row r="55" spans="1:5">
      <c r="E55" s="2"/>
    </row>
    <row r="59" spans="1:5">
      <c r="A59" s="6"/>
      <c r="B59" s="1"/>
      <c r="C59" s="1"/>
      <c r="D59" s="1"/>
      <c r="E59" s="7"/>
    </row>
    <row r="61" spans="1:5">
      <c r="E61" s="2"/>
    </row>
    <row r="62" spans="1:5">
      <c r="E62" s="2"/>
    </row>
    <row r="64" spans="1:5">
      <c r="E64" s="2"/>
    </row>
    <row r="65" spans="5:5">
      <c r="E65" s="2"/>
    </row>
    <row r="66" spans="5:5">
      <c r="E66" s="2"/>
    </row>
    <row r="67" spans="5:5">
      <c r="E67" s="2"/>
    </row>
    <row r="68" spans="5:5">
      <c r="E68" s="2"/>
    </row>
    <row r="69" spans="5:5">
      <c r="E69" s="2"/>
    </row>
    <row r="70" spans="5:5">
      <c r="E70" s="2"/>
    </row>
    <row r="72" spans="5:5">
      <c r="E72" s="2"/>
    </row>
    <row r="73" spans="5:5">
      <c r="E73" s="2"/>
    </row>
  </sheetData>
  <mergeCells count="1">
    <mergeCell ref="F5:O5"/>
  </mergeCells>
  <printOptions gridLines="1"/>
  <pageMargins left="0.7" right="0.7" top="0.75" bottom="0.75" header="0.3" footer="0.3"/>
  <pageSetup scale="73" fitToHeight="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36"/>
  <sheetViews>
    <sheetView workbookViewId="0">
      <selection sqref="A1:E1"/>
    </sheetView>
  </sheetViews>
  <sheetFormatPr defaultRowHeight="15"/>
  <cols>
    <col min="1" max="1" width="16.5703125" customWidth="1"/>
    <col min="2" max="2" width="8.85546875" customWidth="1"/>
    <col min="5" max="5" width="10.140625" customWidth="1"/>
  </cols>
  <sheetData>
    <row r="1" spans="1:5" s="1" customFormat="1">
      <c r="A1" s="1" t="s">
        <v>15</v>
      </c>
      <c r="B1" s="1" t="s">
        <v>16</v>
      </c>
      <c r="C1" s="1" t="s">
        <v>17</v>
      </c>
      <c r="E1" s="1" t="s">
        <v>100</v>
      </c>
    </row>
    <row r="3" spans="1:5">
      <c r="A3" t="s">
        <v>9</v>
      </c>
    </row>
    <row r="4" spans="1:5">
      <c r="B4" t="s">
        <v>7</v>
      </c>
    </row>
    <row r="5" spans="1:5">
      <c r="C5">
        <v>8</v>
      </c>
      <c r="E5">
        <v>60</v>
      </c>
    </row>
    <row r="6" spans="1:5">
      <c r="C6">
        <v>10</v>
      </c>
      <c r="E6">
        <v>175</v>
      </c>
    </row>
    <row r="7" spans="1:5">
      <c r="C7">
        <v>12</v>
      </c>
      <c r="E7">
        <v>45</v>
      </c>
    </row>
    <row r="8" spans="1:5">
      <c r="C8">
        <v>14</v>
      </c>
      <c r="E8">
        <v>210</v>
      </c>
    </row>
    <row r="9" spans="1:5">
      <c r="C9">
        <v>16</v>
      </c>
      <c r="E9">
        <v>140</v>
      </c>
    </row>
    <row r="10" spans="1:5">
      <c r="C10">
        <v>18</v>
      </c>
    </row>
    <row r="11" spans="1:5">
      <c r="C11">
        <v>20</v>
      </c>
      <c r="E11">
        <v>10</v>
      </c>
    </row>
    <row r="12" spans="1:5">
      <c r="C12">
        <v>22</v>
      </c>
    </row>
    <row r="13" spans="1:5">
      <c r="C13">
        <v>24</v>
      </c>
    </row>
    <row r="15" spans="1:5">
      <c r="B15" t="s">
        <v>2</v>
      </c>
    </row>
    <row r="16" spans="1:5">
      <c r="C16">
        <v>8</v>
      </c>
      <c r="E16">
        <v>130</v>
      </c>
    </row>
    <row r="17" spans="2:5">
      <c r="C17">
        <v>10</v>
      </c>
      <c r="E17">
        <v>85</v>
      </c>
    </row>
    <row r="18" spans="2:5">
      <c r="C18">
        <v>12</v>
      </c>
      <c r="E18">
        <v>175</v>
      </c>
    </row>
    <row r="19" spans="2:5">
      <c r="C19">
        <v>14</v>
      </c>
      <c r="E19">
        <v>175</v>
      </c>
    </row>
    <row r="20" spans="2:5">
      <c r="C20">
        <v>16</v>
      </c>
      <c r="E20">
        <v>100</v>
      </c>
    </row>
    <row r="21" spans="2:5">
      <c r="C21">
        <v>18</v>
      </c>
    </row>
    <row r="22" spans="2:5">
      <c r="C22">
        <v>20</v>
      </c>
    </row>
    <row r="23" spans="2:5">
      <c r="C23">
        <v>22</v>
      </c>
    </row>
    <row r="24" spans="2:5">
      <c r="C24">
        <v>24</v>
      </c>
    </row>
    <row r="26" spans="2:5">
      <c r="B26" t="s">
        <v>3</v>
      </c>
    </row>
    <row r="27" spans="2:5">
      <c r="C27">
        <v>8</v>
      </c>
      <c r="E27">
        <v>15</v>
      </c>
    </row>
    <row r="28" spans="2:5">
      <c r="C28">
        <v>10</v>
      </c>
      <c r="E28">
        <v>30</v>
      </c>
    </row>
    <row r="29" spans="2:5">
      <c r="C29">
        <v>12</v>
      </c>
      <c r="E29">
        <v>35</v>
      </c>
    </row>
    <row r="30" spans="2:5">
      <c r="C30">
        <v>14</v>
      </c>
      <c r="E30">
        <v>15</v>
      </c>
    </row>
    <row r="31" spans="2:5">
      <c r="C31">
        <v>16</v>
      </c>
      <c r="E31">
        <v>75</v>
      </c>
    </row>
    <row r="32" spans="2:5">
      <c r="C32">
        <v>18</v>
      </c>
    </row>
    <row r="33" spans="2:5">
      <c r="C33">
        <v>20</v>
      </c>
      <c r="E33">
        <v>10</v>
      </c>
    </row>
    <row r="34" spans="2:5">
      <c r="C34">
        <v>22</v>
      </c>
    </row>
    <row r="35" spans="2:5">
      <c r="C35">
        <v>24</v>
      </c>
    </row>
    <row r="37" spans="2:5">
      <c r="B37" t="s">
        <v>4</v>
      </c>
    </row>
    <row r="38" spans="2:5">
      <c r="C38">
        <v>8</v>
      </c>
      <c r="E38">
        <v>10</v>
      </c>
    </row>
    <row r="39" spans="2:5">
      <c r="C39">
        <v>10</v>
      </c>
      <c r="E39">
        <v>85</v>
      </c>
    </row>
    <row r="40" spans="2:5">
      <c r="C40">
        <v>12</v>
      </c>
      <c r="E40">
        <v>125</v>
      </c>
    </row>
    <row r="41" spans="2:5">
      <c r="C41">
        <v>14</v>
      </c>
      <c r="E41">
        <v>45</v>
      </c>
    </row>
    <row r="42" spans="2:5">
      <c r="C42">
        <v>16</v>
      </c>
      <c r="E42">
        <v>285</v>
      </c>
    </row>
    <row r="43" spans="2:5">
      <c r="C43">
        <v>18</v>
      </c>
    </row>
    <row r="44" spans="2:5">
      <c r="C44">
        <v>20</v>
      </c>
      <c r="E44">
        <v>85</v>
      </c>
    </row>
    <row r="45" spans="2:5">
      <c r="C45">
        <v>22</v>
      </c>
    </row>
    <row r="46" spans="2:5">
      <c r="C46">
        <v>24</v>
      </c>
    </row>
    <row r="47" spans="2:5">
      <c r="C47" t="s">
        <v>0</v>
      </c>
      <c r="E47">
        <v>90</v>
      </c>
    </row>
    <row r="48" spans="2:5">
      <c r="B48" t="s">
        <v>5</v>
      </c>
    </row>
    <row r="49" spans="1:5">
      <c r="C49">
        <v>8</v>
      </c>
      <c r="E49">
        <v>5</v>
      </c>
    </row>
    <row r="50" spans="1:5">
      <c r="C50">
        <v>10</v>
      </c>
      <c r="E50">
        <v>65</v>
      </c>
    </row>
    <row r="51" spans="1:5">
      <c r="C51">
        <v>12</v>
      </c>
      <c r="E51">
        <v>60</v>
      </c>
    </row>
    <row r="52" spans="1:5">
      <c r="C52">
        <v>14</v>
      </c>
      <c r="E52">
        <v>10</v>
      </c>
    </row>
    <row r="53" spans="1:5">
      <c r="C53">
        <v>16</v>
      </c>
      <c r="E53">
        <v>110</v>
      </c>
    </row>
    <row r="54" spans="1:5">
      <c r="C54">
        <v>18</v>
      </c>
    </row>
    <row r="55" spans="1:5">
      <c r="C55">
        <v>20</v>
      </c>
      <c r="E55">
        <v>12</v>
      </c>
    </row>
    <row r="56" spans="1:5">
      <c r="C56">
        <v>22</v>
      </c>
    </row>
    <row r="57" spans="1:5">
      <c r="C57">
        <v>24</v>
      </c>
      <c r="E57">
        <v>20</v>
      </c>
    </row>
    <row r="58" spans="1:5">
      <c r="C58" t="s">
        <v>0</v>
      </c>
      <c r="E58">
        <v>525</v>
      </c>
    </row>
    <row r="59" spans="1:5">
      <c r="A59" t="s">
        <v>1</v>
      </c>
    </row>
    <row r="60" spans="1:5">
      <c r="B60" t="s">
        <v>7</v>
      </c>
    </row>
    <row r="61" spans="1:5">
      <c r="C61">
        <v>8</v>
      </c>
    </row>
    <row r="62" spans="1:5">
      <c r="C62">
        <v>10</v>
      </c>
      <c r="E62">
        <v>16</v>
      </c>
    </row>
    <row r="63" spans="1:5">
      <c r="C63">
        <v>12</v>
      </c>
      <c r="E63">
        <v>30</v>
      </c>
    </row>
    <row r="64" spans="1:5">
      <c r="C64">
        <v>14</v>
      </c>
      <c r="E64">
        <v>3</v>
      </c>
    </row>
    <row r="65" spans="2:5">
      <c r="C65">
        <v>16</v>
      </c>
      <c r="E65">
        <v>15</v>
      </c>
    </row>
    <row r="66" spans="2:5">
      <c r="C66">
        <v>18</v>
      </c>
    </row>
    <row r="67" spans="2:5">
      <c r="C67">
        <v>20</v>
      </c>
    </row>
    <row r="68" spans="2:5">
      <c r="C68">
        <v>22</v>
      </c>
    </row>
    <row r="69" spans="2:5">
      <c r="C69">
        <v>24</v>
      </c>
    </row>
    <row r="71" spans="2:5">
      <c r="B71" t="s">
        <v>2</v>
      </c>
    </row>
    <row r="72" spans="2:5">
      <c r="C72">
        <v>8</v>
      </c>
    </row>
    <row r="73" spans="2:5">
      <c r="C73">
        <v>10</v>
      </c>
      <c r="E73">
        <v>12</v>
      </c>
    </row>
    <row r="74" spans="2:5">
      <c r="C74">
        <v>12</v>
      </c>
      <c r="E74">
        <v>10</v>
      </c>
    </row>
    <row r="75" spans="2:5">
      <c r="C75">
        <v>14</v>
      </c>
      <c r="E75">
        <v>10</v>
      </c>
    </row>
    <row r="76" spans="2:5">
      <c r="C76">
        <v>16</v>
      </c>
      <c r="E76">
        <v>25</v>
      </c>
    </row>
    <row r="77" spans="2:5">
      <c r="C77">
        <v>18</v>
      </c>
    </row>
    <row r="78" spans="2:5">
      <c r="C78">
        <v>20</v>
      </c>
    </row>
    <row r="79" spans="2:5">
      <c r="C79">
        <v>22</v>
      </c>
    </row>
    <row r="80" spans="2:5">
      <c r="C80">
        <v>24</v>
      </c>
    </row>
    <row r="82" spans="2:5">
      <c r="B82" t="s">
        <v>3</v>
      </c>
    </row>
    <row r="83" spans="2:5">
      <c r="C83">
        <v>8</v>
      </c>
    </row>
    <row r="84" spans="2:5">
      <c r="C84">
        <v>10</v>
      </c>
      <c r="E84">
        <v>20</v>
      </c>
    </row>
    <row r="85" spans="2:5">
      <c r="C85">
        <v>12</v>
      </c>
      <c r="E85">
        <v>15</v>
      </c>
    </row>
    <row r="86" spans="2:5">
      <c r="C86">
        <v>14</v>
      </c>
    </row>
    <row r="87" spans="2:5">
      <c r="C87">
        <v>16</v>
      </c>
      <c r="E87">
        <v>10</v>
      </c>
    </row>
    <row r="88" spans="2:5">
      <c r="C88">
        <v>18</v>
      </c>
    </row>
    <row r="89" spans="2:5">
      <c r="C89">
        <v>20</v>
      </c>
    </row>
    <row r="90" spans="2:5">
      <c r="C90">
        <v>22</v>
      </c>
    </row>
    <row r="91" spans="2:5">
      <c r="C91">
        <v>24</v>
      </c>
    </row>
    <row r="93" spans="2:5">
      <c r="B93" t="s">
        <v>4</v>
      </c>
    </row>
    <row r="94" spans="2:5">
      <c r="C94">
        <v>8</v>
      </c>
    </row>
    <row r="95" spans="2:5">
      <c r="C95">
        <v>10</v>
      </c>
    </row>
    <row r="96" spans="2:5">
      <c r="C96">
        <v>12</v>
      </c>
    </row>
    <row r="97" spans="2:5">
      <c r="C97">
        <v>14</v>
      </c>
    </row>
    <row r="98" spans="2:5">
      <c r="C98">
        <v>16</v>
      </c>
    </row>
    <row r="99" spans="2:5">
      <c r="C99">
        <v>18</v>
      </c>
    </row>
    <row r="100" spans="2:5">
      <c r="C100">
        <v>20</v>
      </c>
    </row>
    <row r="101" spans="2:5">
      <c r="C101">
        <v>22</v>
      </c>
    </row>
    <row r="102" spans="2:5">
      <c r="C102">
        <v>24</v>
      </c>
    </row>
    <row r="104" spans="2:5">
      <c r="B104" t="s">
        <v>5</v>
      </c>
    </row>
    <row r="105" spans="2:5">
      <c r="C105">
        <v>8</v>
      </c>
    </row>
    <row r="106" spans="2:5">
      <c r="C106">
        <v>10</v>
      </c>
    </row>
    <row r="107" spans="2:5">
      <c r="C107">
        <v>12</v>
      </c>
      <c r="E107">
        <v>4</v>
      </c>
    </row>
    <row r="108" spans="2:5">
      <c r="C108">
        <v>14</v>
      </c>
    </row>
    <row r="109" spans="2:5">
      <c r="C109">
        <v>16</v>
      </c>
      <c r="E109">
        <v>6</v>
      </c>
    </row>
    <row r="110" spans="2:5">
      <c r="C110">
        <v>18</v>
      </c>
    </row>
    <row r="111" spans="2:5">
      <c r="C111">
        <v>20</v>
      </c>
      <c r="E111">
        <v>18</v>
      </c>
    </row>
    <row r="112" spans="2:5">
      <c r="C112">
        <v>22</v>
      </c>
      <c r="E112">
        <v>75</v>
      </c>
    </row>
    <row r="113" spans="1:5">
      <c r="C113">
        <v>24</v>
      </c>
    </row>
    <row r="114" spans="1:5">
      <c r="C114" t="s">
        <v>0</v>
      </c>
      <c r="E114">
        <v>170</v>
      </c>
    </row>
    <row r="116" spans="1:5">
      <c r="A116" t="s">
        <v>101</v>
      </c>
    </row>
    <row r="117" spans="1:5">
      <c r="B117" t="s">
        <v>102</v>
      </c>
    </row>
    <row r="118" spans="1:5">
      <c r="C118" t="s">
        <v>26</v>
      </c>
      <c r="E118">
        <v>175</v>
      </c>
    </row>
    <row r="119" spans="1:5">
      <c r="C119" t="s">
        <v>80</v>
      </c>
      <c r="E119">
        <v>16</v>
      </c>
    </row>
    <row r="120" spans="1:5">
      <c r="C120" t="s">
        <v>81</v>
      </c>
      <c r="E120">
        <v>20</v>
      </c>
    </row>
    <row r="122" spans="1:5">
      <c r="B122" t="s">
        <v>105</v>
      </c>
    </row>
    <row r="123" spans="1:5">
      <c r="C123" t="s">
        <v>26</v>
      </c>
      <c r="E123">
        <v>330</v>
      </c>
    </row>
    <row r="124" spans="1:5">
      <c r="C124" t="s">
        <v>80</v>
      </c>
    </row>
    <row r="125" spans="1:5">
      <c r="C125" t="s">
        <v>81</v>
      </c>
    </row>
    <row r="127" spans="1:5">
      <c r="A127" t="s">
        <v>103</v>
      </c>
    </row>
    <row r="128" spans="1:5">
      <c r="B128" t="s">
        <v>104</v>
      </c>
    </row>
    <row r="129" spans="1:5">
      <c r="C129" t="s">
        <v>26</v>
      </c>
      <c r="E129">
        <v>150</v>
      </c>
    </row>
    <row r="131" spans="1:5">
      <c r="A131" t="s">
        <v>115</v>
      </c>
    </row>
    <row r="132" spans="1:5">
      <c r="B132" t="s">
        <v>2</v>
      </c>
    </row>
    <row r="133" spans="1:5">
      <c r="C133">
        <v>10</v>
      </c>
      <c r="E133">
        <v>5</v>
      </c>
    </row>
    <row r="134" spans="1:5">
      <c r="C134">
        <v>16</v>
      </c>
      <c r="E134">
        <v>5</v>
      </c>
    </row>
    <row r="136" spans="1:5">
      <c r="A136" t="s">
        <v>9</v>
      </c>
      <c r="B136" t="s">
        <v>41</v>
      </c>
      <c r="C136">
        <v>16</v>
      </c>
      <c r="E136">
        <v>20</v>
      </c>
    </row>
  </sheetData>
  <printOptions gridLine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H40"/>
  <sheetViews>
    <sheetView topLeftCell="B29" workbookViewId="0">
      <selection activeCell="H40" sqref="H40"/>
    </sheetView>
  </sheetViews>
  <sheetFormatPr defaultRowHeight="15"/>
  <cols>
    <col min="1" max="1" width="14.28515625" customWidth="1"/>
    <col min="2" max="2" width="13.28515625" customWidth="1"/>
    <col min="5" max="5" width="18.140625" customWidth="1"/>
    <col min="7" max="7" width="12" customWidth="1"/>
    <col min="8" max="8" width="14.7109375" customWidth="1"/>
  </cols>
  <sheetData>
    <row r="1" spans="1:8">
      <c r="A1" t="s">
        <v>120</v>
      </c>
      <c r="B1" t="s">
        <v>45</v>
      </c>
    </row>
    <row r="2" spans="1:8">
      <c r="A2" t="s">
        <v>121</v>
      </c>
    </row>
    <row r="4" spans="1:8">
      <c r="A4" s="1" t="s">
        <v>15</v>
      </c>
      <c r="B4" s="1" t="s">
        <v>16</v>
      </c>
      <c r="C4" s="1" t="s">
        <v>17</v>
      </c>
      <c r="D4" s="1"/>
      <c r="E4" s="1" t="s">
        <v>100</v>
      </c>
      <c r="G4" s="1" t="s">
        <v>123</v>
      </c>
      <c r="H4" s="1" t="s">
        <v>124</v>
      </c>
    </row>
    <row r="6" spans="1:8">
      <c r="A6" t="s">
        <v>71</v>
      </c>
    </row>
    <row r="7" spans="1:8">
      <c r="B7" t="s">
        <v>53</v>
      </c>
    </row>
    <row r="8" spans="1:8">
      <c r="C8">
        <v>16</v>
      </c>
      <c r="E8">
        <v>500</v>
      </c>
      <c r="G8" s="11">
        <v>8.5299999999999994</v>
      </c>
      <c r="H8" s="11">
        <f>E8*G8</f>
        <v>4265</v>
      </c>
    </row>
    <row r="9" spans="1:8">
      <c r="G9" s="11"/>
      <c r="H9" s="11"/>
    </row>
    <row r="10" spans="1:8">
      <c r="B10" t="s">
        <v>49</v>
      </c>
      <c r="G10" s="11"/>
      <c r="H10" s="11"/>
    </row>
    <row r="11" spans="1:8">
      <c r="C11">
        <v>12</v>
      </c>
      <c r="E11">
        <v>5</v>
      </c>
      <c r="G11" s="11">
        <v>14.2</v>
      </c>
      <c r="H11" s="11">
        <f>E11*G11</f>
        <v>71</v>
      </c>
    </row>
    <row r="12" spans="1:8">
      <c r="C12">
        <v>16</v>
      </c>
      <c r="E12">
        <v>115</v>
      </c>
      <c r="G12" s="11">
        <v>18.93</v>
      </c>
      <c r="H12" s="11">
        <f>E12*G12</f>
        <v>2176.9499999999998</v>
      </c>
    </row>
    <row r="13" spans="1:8">
      <c r="C13">
        <v>20</v>
      </c>
      <c r="E13">
        <v>5</v>
      </c>
      <c r="G13" s="11">
        <v>23.66</v>
      </c>
      <c r="H13" s="11">
        <f>E13*G13</f>
        <v>118.3</v>
      </c>
    </row>
    <row r="14" spans="1:8">
      <c r="G14" s="11"/>
      <c r="H14" s="11"/>
    </row>
    <row r="15" spans="1:8">
      <c r="B15" t="s">
        <v>48</v>
      </c>
      <c r="G15" s="11"/>
      <c r="H15" s="11"/>
    </row>
    <row r="16" spans="1:8">
      <c r="C16">
        <v>12</v>
      </c>
      <c r="E16">
        <v>5</v>
      </c>
      <c r="G16" s="11">
        <v>18.72</v>
      </c>
      <c r="H16" s="11">
        <f>E16*G16</f>
        <v>93.6</v>
      </c>
    </row>
    <row r="17" spans="1:8">
      <c r="C17">
        <v>16</v>
      </c>
      <c r="E17">
        <v>50</v>
      </c>
      <c r="G17" s="11">
        <v>24.96</v>
      </c>
      <c r="H17" s="11">
        <f>E17*G17</f>
        <v>1248</v>
      </c>
    </row>
    <row r="18" spans="1:8">
      <c r="C18">
        <v>20</v>
      </c>
      <c r="E18">
        <v>5</v>
      </c>
      <c r="G18" s="11">
        <v>31.2</v>
      </c>
      <c r="H18" s="11">
        <f>E18*G18</f>
        <v>156</v>
      </c>
    </row>
    <row r="19" spans="1:8">
      <c r="G19" s="11"/>
      <c r="H19" s="11"/>
    </row>
    <row r="20" spans="1:8">
      <c r="B20" t="s">
        <v>59</v>
      </c>
      <c r="G20" s="11"/>
      <c r="H20" s="11"/>
    </row>
    <row r="21" spans="1:8">
      <c r="C21">
        <v>16</v>
      </c>
      <c r="E21">
        <v>50</v>
      </c>
      <c r="G21" s="11">
        <v>43.2</v>
      </c>
      <c r="H21" s="11">
        <f>E21*G21</f>
        <v>2160</v>
      </c>
    </row>
    <row r="22" spans="1:8">
      <c r="G22" s="11"/>
      <c r="H22" s="11"/>
    </row>
    <row r="23" spans="1:8">
      <c r="B23" t="s">
        <v>58</v>
      </c>
      <c r="G23" s="11"/>
      <c r="H23" s="11"/>
    </row>
    <row r="24" spans="1:8">
      <c r="C24">
        <v>16</v>
      </c>
      <c r="E24">
        <v>20</v>
      </c>
      <c r="G24" s="11">
        <v>218.4</v>
      </c>
      <c r="H24" s="11">
        <f>E24*G24</f>
        <v>4368</v>
      </c>
    </row>
    <row r="25" spans="1:8">
      <c r="G25" s="11"/>
      <c r="H25" s="11"/>
    </row>
    <row r="26" spans="1:8">
      <c r="A26" t="s">
        <v>75</v>
      </c>
      <c r="G26" s="11"/>
      <c r="H26" s="11"/>
    </row>
    <row r="27" spans="1:8">
      <c r="B27" t="s">
        <v>116</v>
      </c>
      <c r="G27" s="11"/>
      <c r="H27" s="11"/>
    </row>
    <row r="28" spans="1:8">
      <c r="C28">
        <v>16</v>
      </c>
      <c r="E28">
        <v>10</v>
      </c>
      <c r="G28" s="11">
        <v>0.37</v>
      </c>
      <c r="H28" s="11">
        <f>C28*E28*G28</f>
        <v>59.2</v>
      </c>
    </row>
    <row r="29" spans="1:8">
      <c r="G29" s="11"/>
      <c r="H29" s="11"/>
    </row>
    <row r="30" spans="1:8">
      <c r="A30" t="s">
        <v>117</v>
      </c>
      <c r="G30" s="11"/>
      <c r="H30" s="11"/>
    </row>
    <row r="31" spans="1:8">
      <c r="B31" t="s">
        <v>118</v>
      </c>
      <c r="G31" s="11"/>
      <c r="H31" s="11"/>
    </row>
    <row r="32" spans="1:8">
      <c r="C32" t="s">
        <v>26</v>
      </c>
      <c r="E32">
        <v>10</v>
      </c>
      <c r="G32" s="11">
        <v>24.24</v>
      </c>
      <c r="H32" s="11">
        <f>E32*G32</f>
        <v>242.39999999999998</v>
      </c>
    </row>
    <row r="33" spans="1:8">
      <c r="G33" s="11"/>
      <c r="H33" s="11"/>
    </row>
    <row r="34" spans="1:8">
      <c r="A34" t="s">
        <v>119</v>
      </c>
      <c r="G34" s="11"/>
      <c r="H34" s="11"/>
    </row>
    <row r="35" spans="1:8">
      <c r="B35" t="s">
        <v>104</v>
      </c>
      <c r="G35" s="11"/>
      <c r="H35" s="11"/>
    </row>
    <row r="36" spans="1:8">
      <c r="C36" t="s">
        <v>26</v>
      </c>
      <c r="E36">
        <v>10</v>
      </c>
      <c r="G36" s="11">
        <v>35.46</v>
      </c>
      <c r="H36" s="11">
        <f>E36*G36</f>
        <v>354.6</v>
      </c>
    </row>
    <row r="37" spans="1:8">
      <c r="G37" s="11"/>
      <c r="H37" s="11"/>
    </row>
    <row r="38" spans="1:8">
      <c r="G38" s="11"/>
      <c r="H38" s="11"/>
    </row>
    <row r="39" spans="1:8">
      <c r="G39" s="11"/>
      <c r="H39" s="11">
        <f>SUM(H8:H36)</f>
        <v>15313.050000000001</v>
      </c>
    </row>
    <row r="40" spans="1:8">
      <c r="G40" s="11"/>
      <c r="H40" s="11"/>
    </row>
  </sheetData>
  <printOptions gridLine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F19"/>
  <sheetViews>
    <sheetView workbookViewId="0">
      <selection activeCell="A8" sqref="A8"/>
    </sheetView>
  </sheetViews>
  <sheetFormatPr defaultRowHeight="15"/>
  <cols>
    <col min="2" max="2" width="9" customWidth="1"/>
    <col min="3" max="3" width="19" customWidth="1"/>
    <col min="4" max="4" width="28.140625" customWidth="1"/>
    <col min="5" max="5" width="16.140625" customWidth="1"/>
    <col min="6" max="6" width="16" customWidth="1"/>
  </cols>
  <sheetData>
    <row r="1" spans="1:6">
      <c r="A1" t="s">
        <v>100</v>
      </c>
      <c r="B1" t="s">
        <v>129</v>
      </c>
      <c r="C1" t="s">
        <v>122</v>
      </c>
      <c r="D1" t="s">
        <v>13</v>
      </c>
      <c r="E1" t="s">
        <v>123</v>
      </c>
      <c r="F1" t="s">
        <v>124</v>
      </c>
    </row>
    <row r="3" spans="1:6">
      <c r="A3">
        <v>2917</v>
      </c>
      <c r="B3" t="s">
        <v>130</v>
      </c>
      <c r="C3" t="s">
        <v>125</v>
      </c>
      <c r="D3" t="s">
        <v>126</v>
      </c>
      <c r="E3" s="11">
        <v>7</v>
      </c>
      <c r="F3" s="11">
        <f>A3*E3</f>
        <v>20419</v>
      </c>
    </row>
    <row r="4" spans="1:6">
      <c r="A4">
        <v>1184</v>
      </c>
      <c r="B4" t="s">
        <v>130</v>
      </c>
      <c r="C4" t="s">
        <v>125</v>
      </c>
      <c r="D4" t="s">
        <v>51</v>
      </c>
      <c r="E4" s="11">
        <v>4</v>
      </c>
      <c r="F4" s="11">
        <f>A4*E4</f>
        <v>4736</v>
      </c>
    </row>
    <row r="5" spans="1:6">
      <c r="A5">
        <v>1143</v>
      </c>
      <c r="B5" t="s">
        <v>130</v>
      </c>
      <c r="C5" t="s">
        <v>125</v>
      </c>
      <c r="D5" t="s">
        <v>127</v>
      </c>
      <c r="E5" s="11">
        <v>3</v>
      </c>
      <c r="F5" s="11">
        <f>A5*E5</f>
        <v>3429</v>
      </c>
    </row>
    <row r="6" spans="1:6">
      <c r="A6">
        <v>310</v>
      </c>
      <c r="B6" t="s">
        <v>130</v>
      </c>
      <c r="C6" t="s">
        <v>125</v>
      </c>
      <c r="D6" t="s">
        <v>131</v>
      </c>
      <c r="E6" s="11">
        <v>3</v>
      </c>
      <c r="F6" s="11">
        <f>A6*E6</f>
        <v>930</v>
      </c>
    </row>
    <row r="7" spans="1:6">
      <c r="A7">
        <v>11768</v>
      </c>
      <c r="B7" t="s">
        <v>0</v>
      </c>
      <c r="C7" t="s">
        <v>128</v>
      </c>
      <c r="D7" t="s">
        <v>71</v>
      </c>
      <c r="E7" s="11">
        <v>0.25</v>
      </c>
      <c r="F7" s="11">
        <f>A7*E7</f>
        <v>2942</v>
      </c>
    </row>
    <row r="8" spans="1:6">
      <c r="E8" s="11"/>
      <c r="F8" s="11"/>
    </row>
    <row r="9" spans="1:6">
      <c r="E9" s="11"/>
      <c r="F9" s="11">
        <f>SUM(F3:F7)</f>
        <v>32456</v>
      </c>
    </row>
    <row r="10" spans="1:6">
      <c r="E10" s="11"/>
      <c r="F10" s="11"/>
    </row>
    <row r="11" spans="1:6">
      <c r="E11" s="11"/>
      <c r="F11" s="11"/>
    </row>
    <row r="12" spans="1:6">
      <c r="E12" s="11"/>
      <c r="F12" s="11"/>
    </row>
    <row r="13" spans="1:6">
      <c r="E13" s="11"/>
      <c r="F13" s="11"/>
    </row>
    <row r="14" spans="1:6">
      <c r="E14" s="11"/>
      <c r="F14" s="11"/>
    </row>
    <row r="15" spans="1:6">
      <c r="E15" s="11"/>
      <c r="F15" s="11"/>
    </row>
    <row r="16" spans="1:6">
      <c r="E16" s="11"/>
      <c r="F16" s="11"/>
    </row>
    <row r="17" spans="5:6">
      <c r="E17" s="11"/>
      <c r="F17" s="11"/>
    </row>
    <row r="18" spans="5:6">
      <c r="E18" s="11"/>
      <c r="F18" s="11"/>
    </row>
    <row r="19" spans="5:6">
      <c r="E19" s="11"/>
      <c r="F19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D39"/>
  <sheetViews>
    <sheetView tabSelected="1" workbookViewId="0">
      <selection activeCell="A6" sqref="A6"/>
    </sheetView>
  </sheetViews>
  <sheetFormatPr defaultRowHeight="15"/>
  <cols>
    <col min="1" max="1" width="13.140625" customWidth="1"/>
    <col min="2" max="2" width="16.7109375" style="23" customWidth="1"/>
    <col min="3" max="3" width="38.85546875" style="2" customWidth="1"/>
    <col min="4" max="4" width="17.140625" customWidth="1"/>
    <col min="5" max="5" width="16.140625" customWidth="1"/>
  </cols>
  <sheetData>
    <row r="1" spans="1:4">
      <c r="A1" t="s">
        <v>153</v>
      </c>
    </row>
    <row r="2" spans="1:4">
      <c r="A2" t="s">
        <v>154</v>
      </c>
    </row>
    <row r="4" spans="1:4" ht="23.25">
      <c r="A4" s="22" t="s">
        <v>45</v>
      </c>
    </row>
    <row r="6" spans="1:4" ht="18.75">
      <c r="A6" s="21" t="s">
        <v>137</v>
      </c>
    </row>
    <row r="7" spans="1:4" ht="15.75">
      <c r="A7" s="20" t="s">
        <v>27</v>
      </c>
    </row>
    <row r="9" spans="1:4" s="1" customFormat="1">
      <c r="B9" s="29" t="s">
        <v>100</v>
      </c>
      <c r="C9" s="7" t="s">
        <v>136</v>
      </c>
    </row>
    <row r="11" spans="1:4">
      <c r="C11" s="33" t="s">
        <v>138</v>
      </c>
    </row>
    <row r="13" spans="1:4">
      <c r="B13" s="23">
        <v>16</v>
      </c>
      <c r="C13" s="2" t="s">
        <v>140</v>
      </c>
      <c r="D13" t="s">
        <v>149</v>
      </c>
    </row>
    <row r="14" spans="1:4">
      <c r="C14" s="2" t="s">
        <v>139</v>
      </c>
    </row>
    <row r="16" spans="1:4">
      <c r="B16" s="23">
        <v>486</v>
      </c>
      <c r="C16" s="2" t="s">
        <v>141</v>
      </c>
      <c r="D16" t="s">
        <v>149</v>
      </c>
    </row>
    <row r="17" spans="2:4">
      <c r="C17" s="2" t="s">
        <v>142</v>
      </c>
    </row>
    <row r="19" spans="2:4">
      <c r="B19" s="23">
        <v>1248</v>
      </c>
      <c r="C19" s="2" t="s">
        <v>144</v>
      </c>
      <c r="D19" t="s">
        <v>18</v>
      </c>
    </row>
    <row r="20" spans="2:4">
      <c r="C20" s="2" t="s">
        <v>145</v>
      </c>
    </row>
    <row r="22" spans="2:4">
      <c r="B22" s="23">
        <v>1364</v>
      </c>
      <c r="C22" s="2" t="s">
        <v>144</v>
      </c>
      <c r="D22" t="s">
        <v>18</v>
      </c>
    </row>
    <row r="23" spans="2:4">
      <c r="C23" s="2" t="s">
        <v>146</v>
      </c>
    </row>
    <row r="25" spans="2:4">
      <c r="B25" s="23">
        <v>96</v>
      </c>
      <c r="C25" s="2" t="s">
        <v>144</v>
      </c>
      <c r="D25" t="s">
        <v>18</v>
      </c>
    </row>
    <row r="26" spans="2:4">
      <c r="C26" s="2" t="s">
        <v>147</v>
      </c>
    </row>
    <row r="28" spans="2:4">
      <c r="B28" s="23">
        <v>962</v>
      </c>
      <c r="C28" s="2" t="s">
        <v>144</v>
      </c>
      <c r="D28" t="s">
        <v>18</v>
      </c>
    </row>
    <row r="29" spans="2:4">
      <c r="C29" s="2" t="s">
        <v>148</v>
      </c>
    </row>
    <row r="31" spans="2:4">
      <c r="B31" s="23">
        <v>575</v>
      </c>
      <c r="C31" s="2" t="s">
        <v>144</v>
      </c>
      <c r="D31" t="s">
        <v>18</v>
      </c>
    </row>
    <row r="33" spans="2:4">
      <c r="C33" s="33" t="s">
        <v>150</v>
      </c>
    </row>
    <row r="35" spans="2:4">
      <c r="B35" s="23">
        <v>96</v>
      </c>
      <c r="C35" s="2" t="s">
        <v>141</v>
      </c>
      <c r="D35" t="s">
        <v>149</v>
      </c>
    </row>
    <row r="36" spans="2:4">
      <c r="C36" s="2" t="s">
        <v>151</v>
      </c>
    </row>
    <row r="38" spans="2:4">
      <c r="B38" s="23">
        <v>8</v>
      </c>
      <c r="C38" s="2" t="s">
        <v>140</v>
      </c>
      <c r="D38" t="s">
        <v>149</v>
      </c>
    </row>
    <row r="39" spans="2:4">
      <c r="C39" s="2" t="s">
        <v>152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FRAMING</vt:lpstr>
      <vt:lpstr>FINISH</vt:lpstr>
      <vt:lpstr>FRAMING ORDER</vt:lpstr>
      <vt:lpstr>FINISH ORDER</vt:lpstr>
      <vt:lpstr>FRAMING LABOR</vt:lpstr>
      <vt:lpstr>PT ORDER BSMT&amp;MAIN&amp;GARAGE</vt:lpstr>
      <vt:lpstr>FINISH!Print_Area</vt:lpstr>
      <vt:lpstr>'FINISH ORDER'!Print_Area</vt:lpstr>
      <vt:lpstr>FRAMING!Print_Titles</vt:lpstr>
      <vt:lpstr>'FRAMING ORDER'!Print_Titles</vt:lpstr>
    </vt:vector>
  </TitlesOfParts>
  <Company>EquiFirst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Stevens</dc:creator>
  <cp:lastModifiedBy>Sean Stevens</cp:lastModifiedBy>
  <cp:lastPrinted>2009-03-19T22:14:05Z</cp:lastPrinted>
  <dcterms:created xsi:type="dcterms:W3CDTF">2007-07-19T15:01:18Z</dcterms:created>
  <dcterms:modified xsi:type="dcterms:W3CDTF">2009-03-19T22:14:51Z</dcterms:modified>
</cp:coreProperties>
</file>